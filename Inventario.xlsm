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tactagi\Downloads\"/>
    </mc:Choice>
  </mc:AlternateContent>
  <xr:revisionPtr revIDLastSave="0" documentId="8_{9A673E42-AF60-4642-BB51-D9A75464B9A2}" xr6:coauthVersionLast="47" xr6:coauthVersionMax="47" xr10:uidLastSave="{00000000-0000-0000-0000-000000000000}"/>
  <bookViews>
    <workbookView xWindow="-120" yWindow="-120" windowWidth="24240" windowHeight="13020" activeTab="3" xr2:uid="{00000000-000D-0000-FFFF-FFFF00000000}"/>
  </bookViews>
  <sheets>
    <sheet name="Analisis" sheetId="3" r:id="rId1"/>
    <sheet name="grafico consumo" sheetId="5" r:id="rId2"/>
    <sheet name="Hoja1-Datos" sheetId="1" r:id="rId3"/>
    <sheet name="Hoja12" sheetId="13" r:id="rId4"/>
    <sheet name="Hoja13" sheetId="14" r:id="rId5"/>
    <sheet name="Hoja11" sheetId="12" r:id="rId6"/>
  </sheets>
  <definedNames>
    <definedName name="_xlnm._FilterDatabase" localSheetId="3" hidden="1">Hoja12!$A$1:$B$81</definedName>
    <definedName name="_xlnm._FilterDatabase" localSheetId="2" hidden="1">'Hoja1-Datos'!$A$1:$G$81</definedName>
  </definedNames>
  <calcPr calcId="191029"/>
  <pivotCaches>
    <pivotCache cacheId="22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1" l="1"/>
  <c r="I2" i="1"/>
</calcChain>
</file>

<file path=xl/sharedStrings.xml><?xml version="1.0" encoding="utf-8"?>
<sst xmlns="http://schemas.openxmlformats.org/spreadsheetml/2006/main" count="521" uniqueCount="199">
  <si>
    <t>Código del reactivo</t>
  </si>
  <si>
    <t>Nombre del reactivo</t>
  </si>
  <si>
    <t>Cantidad inicial</t>
  </si>
  <si>
    <t>Cantidad actual</t>
  </si>
  <si>
    <t>Fecha de entrada</t>
  </si>
  <si>
    <t>Fecha de salida</t>
  </si>
  <si>
    <t>Responsable</t>
  </si>
  <si>
    <t>Reactivo A</t>
  </si>
  <si>
    <t>Reactivo B</t>
  </si>
  <si>
    <t>Reactivo C</t>
  </si>
  <si>
    <t>Reactivo D</t>
  </si>
  <si>
    <t>Reactivo E</t>
  </si>
  <si>
    <t>Reactivo F</t>
  </si>
  <si>
    <t>Reactivo G</t>
  </si>
  <si>
    <t>Reactivo H</t>
  </si>
  <si>
    <t>Reactivo I</t>
  </si>
  <si>
    <t>Reactivo J</t>
  </si>
  <si>
    <t>Reactivo K</t>
  </si>
  <si>
    <t>Reactivo L</t>
  </si>
  <si>
    <t>Reactivo M</t>
  </si>
  <si>
    <t>Reactivo N</t>
  </si>
  <si>
    <t>Reactivo O</t>
  </si>
  <si>
    <t>Reactivo P</t>
  </si>
  <si>
    <t>Reactivo Q</t>
  </si>
  <si>
    <t>Reactivo R</t>
  </si>
  <si>
    <t>Reactivo S</t>
  </si>
  <si>
    <t>Reactivo T</t>
  </si>
  <si>
    <t>Reactivo U</t>
  </si>
  <si>
    <t>Reactivo V</t>
  </si>
  <si>
    <t>Reactivo W</t>
  </si>
  <si>
    <t>Reactivo X</t>
  </si>
  <si>
    <t>Reactivo Y</t>
  </si>
  <si>
    <t>Reactivo Z</t>
  </si>
  <si>
    <t>Reactivo AA</t>
  </si>
  <si>
    <t>Reactivo BB</t>
  </si>
  <si>
    <t>Reactivo CC</t>
  </si>
  <si>
    <t>Reactivo DD</t>
  </si>
  <si>
    <t>31/01/2023</t>
  </si>
  <si>
    <t>28/02/2023</t>
  </si>
  <si>
    <t>31/03/2023</t>
  </si>
  <si>
    <t>30/04/2023</t>
  </si>
  <si>
    <t>31/05/2023</t>
  </si>
  <si>
    <t>30/06/2023</t>
  </si>
  <si>
    <t>31/07/2023</t>
  </si>
  <si>
    <t>31/08/2023</t>
  </si>
  <si>
    <t>30/09/2023</t>
  </si>
  <si>
    <t>31/10/2023</t>
  </si>
  <si>
    <t>30/11/2023</t>
  </si>
  <si>
    <t>31/12/2023</t>
  </si>
  <si>
    <t>31/01/2024</t>
  </si>
  <si>
    <t>29/02/2024</t>
  </si>
  <si>
    <t>31/03/2024</t>
  </si>
  <si>
    <t>30/04/2024</t>
  </si>
  <si>
    <t>31/05/2024</t>
  </si>
  <si>
    <t>30/06/2024</t>
  </si>
  <si>
    <t>31/07/2024</t>
  </si>
  <si>
    <t>31/08/2024</t>
  </si>
  <si>
    <t>30/09/2024</t>
  </si>
  <si>
    <t>31/10/2024</t>
  </si>
  <si>
    <t>30/11/2024</t>
  </si>
  <si>
    <t>31/12/2024</t>
  </si>
  <si>
    <t>31/01/2025</t>
  </si>
  <si>
    <t>28/02/2025</t>
  </si>
  <si>
    <t>31/03/2025</t>
  </si>
  <si>
    <t>30/04/2025</t>
  </si>
  <si>
    <t>31/05/2025</t>
  </si>
  <si>
    <t>30/06/2025</t>
  </si>
  <si>
    <t>Juan</t>
  </si>
  <si>
    <t>María</t>
  </si>
  <si>
    <t>Pedro</t>
  </si>
  <si>
    <t>Ana</t>
  </si>
  <si>
    <t>Andrés</t>
  </si>
  <si>
    <t>22/03/2023</t>
  </si>
  <si>
    <t>21/03/2023</t>
  </si>
  <si>
    <t>20/03/2023</t>
  </si>
  <si>
    <t>19/03/2023</t>
  </si>
  <si>
    <t>18/03/2023</t>
  </si>
  <si>
    <t>17/03/2023</t>
  </si>
  <si>
    <t>16/03/2023</t>
  </si>
  <si>
    <t>15/03/2023</t>
  </si>
  <si>
    <t>14/03/2023</t>
  </si>
  <si>
    <t>13/03/2023</t>
  </si>
  <si>
    <t>12/03/2023</t>
  </si>
  <si>
    <t>11/03/2023</t>
  </si>
  <si>
    <t>10/03/2023</t>
  </si>
  <si>
    <t>9/03/2023</t>
  </si>
  <si>
    <t>8/03/2023</t>
  </si>
  <si>
    <t>7/03/2023</t>
  </si>
  <si>
    <t>6/03/2023</t>
  </si>
  <si>
    <t>5/03/2023</t>
  </si>
  <si>
    <t>4/03/2023</t>
  </si>
  <si>
    <t>3/03/2023</t>
  </si>
  <si>
    <t>2/03/2023</t>
  </si>
  <si>
    <t>1/03/2023</t>
  </si>
  <si>
    <t>27/02/2023</t>
  </si>
  <si>
    <t>26/02/2023</t>
  </si>
  <si>
    <t>25/02/2023</t>
  </si>
  <si>
    <t>24/02/2023</t>
  </si>
  <si>
    <t>23/02/2023</t>
  </si>
  <si>
    <t>22/02/2023</t>
  </si>
  <si>
    <t>21/02/2023</t>
  </si>
  <si>
    <t>20/02/2023</t>
  </si>
  <si>
    <t>19/02/2023</t>
  </si>
  <si>
    <t>18/02/2023</t>
  </si>
  <si>
    <t>17/02/2023</t>
  </si>
  <si>
    <t>16/02/2023</t>
  </si>
  <si>
    <t>15/02/2023</t>
  </si>
  <si>
    <t>14/02/2023</t>
  </si>
  <si>
    <t>13/02/2023</t>
  </si>
  <si>
    <t>12/02/2023</t>
  </si>
  <si>
    <t>11/02/2023</t>
  </si>
  <si>
    <t>10/02/2023</t>
  </si>
  <si>
    <t>9/02/2023</t>
  </si>
  <si>
    <t>8/02/2023</t>
  </si>
  <si>
    <t>7/02/2023</t>
  </si>
  <si>
    <t>6/02/2023</t>
  </si>
  <si>
    <t>5/02/2023</t>
  </si>
  <si>
    <t>4/02/2023</t>
  </si>
  <si>
    <t>3/02/2023</t>
  </si>
  <si>
    <t>2/02/2023</t>
  </si>
  <si>
    <t>1/02/2023</t>
  </si>
  <si>
    <t>Reactivo DE</t>
  </si>
  <si>
    <t>Reactivo EE</t>
  </si>
  <si>
    <t>Reactivo CD</t>
  </si>
  <si>
    <t>Reactivo DF</t>
  </si>
  <si>
    <t>Reactivo EG</t>
  </si>
  <si>
    <t>Reactivo FH</t>
  </si>
  <si>
    <t>Reactivo GI</t>
  </si>
  <si>
    <t>Reactivo HJ</t>
  </si>
  <si>
    <t>Reactivo IQ</t>
  </si>
  <si>
    <t>Reactivo JV</t>
  </si>
  <si>
    <t>Reactivo KK</t>
  </si>
  <si>
    <t>Reactivo LZ</t>
  </si>
  <si>
    <t>Reactivo MY</t>
  </si>
  <si>
    <t>Reactivo NN</t>
  </si>
  <si>
    <t>Reactivo OY</t>
  </si>
  <si>
    <t>Reactivo PR</t>
  </si>
  <si>
    <t>Reactivo QQ</t>
  </si>
  <si>
    <t>Reactivo RA</t>
  </si>
  <si>
    <t>Reactivo SX</t>
  </si>
  <si>
    <t>Reactivo TX</t>
  </si>
  <si>
    <t>Reactivo UZ</t>
  </si>
  <si>
    <t>Reactivo VV</t>
  </si>
  <si>
    <t>Reactivo WZ</t>
  </si>
  <si>
    <t>Reactivo XX</t>
  </si>
  <si>
    <t>Reactivo YX</t>
  </si>
  <si>
    <t>Reactivo ZZ</t>
  </si>
  <si>
    <t>Reactivo AZ</t>
  </si>
  <si>
    <t>Reactivo BN</t>
  </si>
  <si>
    <t>Reactivo CM</t>
  </si>
  <si>
    <t>Reactivo DX</t>
  </si>
  <si>
    <t>Reactivo EA</t>
  </si>
  <si>
    <t>Reactivo FL</t>
  </si>
  <si>
    <t>Reactivo GO</t>
  </si>
  <si>
    <t>Reactivo HP</t>
  </si>
  <si>
    <t>Reactivo IM</t>
  </si>
  <si>
    <t>Reactivo JF</t>
  </si>
  <si>
    <t>Reactivo KT</t>
  </si>
  <si>
    <t>Reactivo LA</t>
  </si>
  <si>
    <t>Reactivo MQ</t>
  </si>
  <si>
    <t>Reactivo NI</t>
  </si>
  <si>
    <t>Reactivo OF</t>
  </si>
  <si>
    <t>Reactivo PE</t>
  </si>
  <si>
    <t>Reactivo QK</t>
  </si>
  <si>
    <t>Reactivo RE</t>
  </si>
  <si>
    <t>Reactivo SJ</t>
  </si>
  <si>
    <t>Reactivo TU</t>
  </si>
  <si>
    <t>Reactivo UT</t>
  </si>
  <si>
    <t>Reactivo VF</t>
  </si>
  <si>
    <t>Reactivo WN</t>
  </si>
  <si>
    <t>Reactivo XQ</t>
  </si>
  <si>
    <t>Etiquetas de fila</t>
  </si>
  <si>
    <t>Total general</t>
  </si>
  <si>
    <t>&lt;25/2/2023</t>
  </si>
  <si>
    <t>Cuenta de Código del reactivo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</si>
  <si>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</si>
  <si>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</si>
  <si>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</si>
  <si>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</si>
  <si>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</si>
  <si>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</si>
  <si>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</si>
  <si>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</si>
  <si>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</si>
  <si>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Etiquetas de columna</t>
  </si>
  <si>
    <t>¿Que mes se consumió mas reactivos y quienes usaron mas reactivo durante ese mes?</t>
  </si>
  <si>
    <t>Total Suma de Cantidad inicial</t>
  </si>
  <si>
    <t>Suma de Cantidad inicial</t>
  </si>
  <si>
    <t>Suma de Cantidad actual</t>
  </si>
  <si>
    <t>Suma de Cantidad consumida</t>
  </si>
  <si>
    <t>¿Cuáles fueronel top 10 de  los reactivos que mas cantidad se consumió?</t>
  </si>
  <si>
    <t>Total Suma de Cantidad actual</t>
  </si>
  <si>
    <t>Total Suma de Cantidad consumida</t>
  </si>
  <si>
    <t>Cantidad total de reactivos actual(funcion SUMA)</t>
  </si>
  <si>
    <t>reactivos actuales a reponer( criterio menor a 20,funcion CONTAR.SI)</t>
  </si>
  <si>
    <t>BUSCARV(120;A2:D81;4;FALSO)</t>
  </si>
  <si>
    <t>para buscar un codigo de reactivo y devuelva su cantidad actual</t>
  </si>
  <si>
    <t>hipervinculo a hoja Analisis</t>
  </si>
  <si>
    <t>Ir a Hoja1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</si>
</sst>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Liberation Serif"/>
      <family val="1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2" borderId="0" xfId="0" applyFill="1" applyAlignment="1">
      <alignment horizontal="left"/>
    </xf>
    <xf numFmtId="0" fontId="0" fillId="2" borderId="0" xfId="0" applyNumberFormat="1" applyFill="1"/>
    <xf numFmtId="0" fontId="0" fillId="2" borderId="0" xfId="0" applyFill="1"/>
    <xf numFmtId="0" fontId="3" fillId="2" borderId="0" xfId="0" applyFont="1" applyFill="1"/>
    <xf numFmtId="0" fontId="0" fillId="3" borderId="0" xfId="0" applyFill="1" applyAlignment="1">
      <alignment horizontal="left"/>
    </xf>
    <xf numFmtId="0" fontId="1" fillId="3" borderId="2" xfId="0" applyFont="1" applyFill="1" applyBorder="1" applyAlignment="1">
      <alignment horizontal="center" vertical="top"/>
    </xf>
    <xf numFmtId="0" fontId="0" fillId="3" borderId="0" xfId="0" applyFill="1"/>
    <xf numFmtId="0" fontId="4" fillId="4" borderId="0" xfId="1" applyFill="1"/>
  </cellXfs>
  <cellStyles count="2">
    <cellStyle name="Hipervínculo" xfId="1" builtinId="8"/>
    <cellStyle name="Normal" xfId="0" builtinId="0"/>
  </cellStyles>
  <dxfs count="2"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[Inventario.xlsm]grafico consumo!TablaDinámica4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solidFill>
                    <a:schemeClr val="accent1"/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Consumos</a:t>
            </a:r>
            <a:r>
              <a:rPr lang="es-AR" baseline="0"/>
              <a:t> de reactivos por trimestre (opcion filtro)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solidFill>
                  <a:schemeClr val="accent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solidFill>
                      <a:schemeClr val="accent1"/>
                    </a:solidFill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solidFill>
                      <a:schemeClr val="accent1"/>
                    </a:solidFill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solidFill>
                      <a:schemeClr val="accent1"/>
                    </a:solidFill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solidFill>
                      <a:schemeClr val="accent1"/>
                    </a:solidFill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3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solidFill>
                      <a:schemeClr val="accent1"/>
                    </a:solidFill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FF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solidFill>
                      <a:schemeClr val="accent1"/>
                    </a:solidFill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solidFill>
                      <a:schemeClr val="accent1"/>
                    </a:solidFill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3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solidFill>
                      <a:schemeClr val="accent1"/>
                    </a:solidFill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3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solidFill>
                      <a:schemeClr val="accent1"/>
                    </a:solidFill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3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solidFill>
                      <a:schemeClr val="accent1"/>
                    </a:solidFill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8147713506965473E-2"/>
          <c:y val="0.15229483554911721"/>
          <c:w val="0.74473690187764996"/>
          <c:h val="0.65321837737641841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'grafico consumo'!$B$3:$B$4</c:f>
              <c:strCache>
                <c:ptCount val="1"/>
                <c:pt idx="0">
                  <c:v>may</c:v>
                </c:pt>
              </c:strCache>
            </c:strRef>
          </c:tx>
          <c:spPr>
            <a:solidFill>
              <a:schemeClr val="accent3">
                <a:shade val="65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'grafico consumo'!$A$5:$A$47</c:f>
              <c:strCache>
                <c:ptCount val="42"/>
                <c:pt idx="0">
                  <c:v>Reactivo A</c:v>
                </c:pt>
                <c:pt idx="1">
                  <c:v>Reactivo AZ</c:v>
                </c:pt>
                <c:pt idx="2">
                  <c:v>Reactivo BN</c:v>
                </c:pt>
                <c:pt idx="3">
                  <c:v>Reactivo C</c:v>
                </c:pt>
                <c:pt idx="4">
                  <c:v>Reactivo CD</c:v>
                </c:pt>
                <c:pt idx="5">
                  <c:v>Reactivo CM</c:v>
                </c:pt>
                <c:pt idx="6">
                  <c:v>Reactivo D</c:v>
                </c:pt>
                <c:pt idx="7">
                  <c:v>Reactivo DE</c:v>
                </c:pt>
                <c:pt idx="8">
                  <c:v>Reactivo DX</c:v>
                </c:pt>
                <c:pt idx="9">
                  <c:v>Reactivo E</c:v>
                </c:pt>
                <c:pt idx="10">
                  <c:v>Reactivo EA</c:v>
                </c:pt>
                <c:pt idx="11">
                  <c:v>Reactivo F</c:v>
                </c:pt>
                <c:pt idx="12">
                  <c:v>Reactivo FL</c:v>
                </c:pt>
                <c:pt idx="13">
                  <c:v>Reactivo GI</c:v>
                </c:pt>
                <c:pt idx="14">
                  <c:v>Reactivo H</c:v>
                </c:pt>
                <c:pt idx="15">
                  <c:v>Reactivo HJ</c:v>
                </c:pt>
                <c:pt idx="16">
                  <c:v>Reactivo I</c:v>
                </c:pt>
                <c:pt idx="17">
                  <c:v>Reactivo IM</c:v>
                </c:pt>
                <c:pt idx="18">
                  <c:v>Reactivo IQ</c:v>
                </c:pt>
                <c:pt idx="19">
                  <c:v>Reactivo J</c:v>
                </c:pt>
                <c:pt idx="20">
                  <c:v>Reactivo KT</c:v>
                </c:pt>
                <c:pt idx="21">
                  <c:v>Reactivo L</c:v>
                </c:pt>
                <c:pt idx="22">
                  <c:v>Reactivo LA</c:v>
                </c:pt>
                <c:pt idx="23">
                  <c:v>Reactivo MY</c:v>
                </c:pt>
                <c:pt idx="24">
                  <c:v>Reactivo N</c:v>
                </c:pt>
                <c:pt idx="25">
                  <c:v>Reactivo O</c:v>
                </c:pt>
                <c:pt idx="26">
                  <c:v>Reactivo OF</c:v>
                </c:pt>
                <c:pt idx="27">
                  <c:v>Reactivo OY</c:v>
                </c:pt>
                <c:pt idx="28">
                  <c:v>Reactivo PE</c:v>
                </c:pt>
                <c:pt idx="29">
                  <c:v>Reactivo QK</c:v>
                </c:pt>
                <c:pt idx="30">
                  <c:v>Reactivo QQ</c:v>
                </c:pt>
                <c:pt idx="31">
                  <c:v>Reactivo R</c:v>
                </c:pt>
                <c:pt idx="32">
                  <c:v>Reactivo S</c:v>
                </c:pt>
                <c:pt idx="33">
                  <c:v>Reactivo U</c:v>
                </c:pt>
                <c:pt idx="34">
                  <c:v>Reactivo UT</c:v>
                </c:pt>
                <c:pt idx="35">
                  <c:v>Reactivo UZ</c:v>
                </c:pt>
                <c:pt idx="36">
                  <c:v>Reactivo V</c:v>
                </c:pt>
                <c:pt idx="37">
                  <c:v>Reactivo WZ</c:v>
                </c:pt>
                <c:pt idx="38">
                  <c:v>Reactivo X</c:v>
                </c:pt>
                <c:pt idx="39">
                  <c:v>Reactivo XX</c:v>
                </c:pt>
                <c:pt idx="40">
                  <c:v>Reactivo Z</c:v>
                </c:pt>
                <c:pt idx="41">
                  <c:v>Reactivo ZZ</c:v>
                </c:pt>
              </c:strCache>
            </c:strRef>
          </c:cat>
          <c:val>
            <c:numRef>
              <c:f>'grafico consumo'!$B$5:$B$47</c:f>
              <c:numCache>
                <c:formatCode>General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81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57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69-4C7F-BDCB-526F9C2324BE}"/>
            </c:ext>
          </c:extLst>
        </c:ser>
        <c:ser>
          <c:idx val="1"/>
          <c:order val="1"/>
          <c:tx>
            <c:strRef>
              <c:f>'grafico consumo'!$C$3:$C$4</c:f>
              <c:strCache>
                <c:ptCount val="1"/>
                <c:pt idx="0">
                  <c:v>jun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  <a:sp3d/>
          </c:spPr>
          <c:invertIfNegative val="0"/>
          <c:cat>
            <c:strRef>
              <c:f>'grafico consumo'!$A$5:$A$47</c:f>
              <c:strCache>
                <c:ptCount val="42"/>
                <c:pt idx="0">
                  <c:v>Reactivo A</c:v>
                </c:pt>
                <c:pt idx="1">
                  <c:v>Reactivo AZ</c:v>
                </c:pt>
                <c:pt idx="2">
                  <c:v>Reactivo BN</c:v>
                </c:pt>
                <c:pt idx="3">
                  <c:v>Reactivo C</c:v>
                </c:pt>
                <c:pt idx="4">
                  <c:v>Reactivo CD</c:v>
                </c:pt>
                <c:pt idx="5">
                  <c:v>Reactivo CM</c:v>
                </c:pt>
                <c:pt idx="6">
                  <c:v>Reactivo D</c:v>
                </c:pt>
                <c:pt idx="7">
                  <c:v>Reactivo DE</c:v>
                </c:pt>
                <c:pt idx="8">
                  <c:v>Reactivo DX</c:v>
                </c:pt>
                <c:pt idx="9">
                  <c:v>Reactivo E</c:v>
                </c:pt>
                <c:pt idx="10">
                  <c:v>Reactivo EA</c:v>
                </c:pt>
                <c:pt idx="11">
                  <c:v>Reactivo F</c:v>
                </c:pt>
                <c:pt idx="12">
                  <c:v>Reactivo FL</c:v>
                </c:pt>
                <c:pt idx="13">
                  <c:v>Reactivo GI</c:v>
                </c:pt>
                <c:pt idx="14">
                  <c:v>Reactivo H</c:v>
                </c:pt>
                <c:pt idx="15">
                  <c:v>Reactivo HJ</c:v>
                </c:pt>
                <c:pt idx="16">
                  <c:v>Reactivo I</c:v>
                </c:pt>
                <c:pt idx="17">
                  <c:v>Reactivo IM</c:v>
                </c:pt>
                <c:pt idx="18">
                  <c:v>Reactivo IQ</c:v>
                </c:pt>
                <c:pt idx="19">
                  <c:v>Reactivo J</c:v>
                </c:pt>
                <c:pt idx="20">
                  <c:v>Reactivo KT</c:v>
                </c:pt>
                <c:pt idx="21">
                  <c:v>Reactivo L</c:v>
                </c:pt>
                <c:pt idx="22">
                  <c:v>Reactivo LA</c:v>
                </c:pt>
                <c:pt idx="23">
                  <c:v>Reactivo MY</c:v>
                </c:pt>
                <c:pt idx="24">
                  <c:v>Reactivo N</c:v>
                </c:pt>
                <c:pt idx="25">
                  <c:v>Reactivo O</c:v>
                </c:pt>
                <c:pt idx="26">
                  <c:v>Reactivo OF</c:v>
                </c:pt>
                <c:pt idx="27">
                  <c:v>Reactivo OY</c:v>
                </c:pt>
                <c:pt idx="28">
                  <c:v>Reactivo PE</c:v>
                </c:pt>
                <c:pt idx="29">
                  <c:v>Reactivo QK</c:v>
                </c:pt>
                <c:pt idx="30">
                  <c:v>Reactivo QQ</c:v>
                </c:pt>
                <c:pt idx="31">
                  <c:v>Reactivo R</c:v>
                </c:pt>
                <c:pt idx="32">
                  <c:v>Reactivo S</c:v>
                </c:pt>
                <c:pt idx="33">
                  <c:v>Reactivo U</c:v>
                </c:pt>
                <c:pt idx="34">
                  <c:v>Reactivo UT</c:v>
                </c:pt>
                <c:pt idx="35">
                  <c:v>Reactivo UZ</c:v>
                </c:pt>
                <c:pt idx="36">
                  <c:v>Reactivo V</c:v>
                </c:pt>
                <c:pt idx="37">
                  <c:v>Reactivo WZ</c:v>
                </c:pt>
                <c:pt idx="38">
                  <c:v>Reactivo X</c:v>
                </c:pt>
                <c:pt idx="39">
                  <c:v>Reactivo XX</c:v>
                </c:pt>
                <c:pt idx="40">
                  <c:v>Reactivo Z</c:v>
                </c:pt>
                <c:pt idx="41">
                  <c:v>Reactivo ZZ</c:v>
                </c:pt>
              </c:strCache>
            </c:strRef>
          </c:cat>
          <c:val>
            <c:numRef>
              <c:f>'grafico consumo'!$C$5:$C$47</c:f>
              <c:numCache>
                <c:formatCode>General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46</c:v>
                </c:pt>
                <c:pt idx="12">
                  <c:v>0</c:v>
                </c:pt>
                <c:pt idx="13">
                  <c:v>0</c:v>
                </c:pt>
                <c:pt idx="14">
                  <c:v>78</c:v>
                </c:pt>
                <c:pt idx="15">
                  <c:v>0</c:v>
                </c:pt>
                <c:pt idx="16">
                  <c:v>72</c:v>
                </c:pt>
                <c:pt idx="17">
                  <c:v>0</c:v>
                </c:pt>
                <c:pt idx="18">
                  <c:v>0</c:v>
                </c:pt>
                <c:pt idx="19">
                  <c:v>10</c:v>
                </c:pt>
                <c:pt idx="20">
                  <c:v>0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  <c:pt idx="24">
                  <c:v>81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34</c:v>
                </c:pt>
                <c:pt idx="32">
                  <c:v>39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</c:v>
                </c:pt>
                <c:pt idx="37">
                  <c:v>0</c:v>
                </c:pt>
                <c:pt idx="38">
                  <c:v>25</c:v>
                </c:pt>
                <c:pt idx="39">
                  <c:v>0</c:v>
                </c:pt>
                <c:pt idx="40">
                  <c:v>107</c:v>
                </c:pt>
                <c:pt idx="4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C869-4C7F-BDCB-526F9C2324BE}"/>
            </c:ext>
          </c:extLst>
        </c:ser>
        <c:ser>
          <c:idx val="2"/>
          <c:order val="2"/>
          <c:tx>
            <c:strRef>
              <c:f>'grafico consumo'!$D$3:$D$4</c:f>
              <c:strCache>
                <c:ptCount val="1"/>
                <c:pt idx="0">
                  <c:v>jul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cat>
            <c:strRef>
              <c:f>'grafico consumo'!$A$5:$A$47</c:f>
              <c:strCache>
                <c:ptCount val="42"/>
                <c:pt idx="0">
                  <c:v>Reactivo A</c:v>
                </c:pt>
                <c:pt idx="1">
                  <c:v>Reactivo AZ</c:v>
                </c:pt>
                <c:pt idx="2">
                  <c:v>Reactivo BN</c:v>
                </c:pt>
                <c:pt idx="3">
                  <c:v>Reactivo C</c:v>
                </c:pt>
                <c:pt idx="4">
                  <c:v>Reactivo CD</c:v>
                </c:pt>
                <c:pt idx="5">
                  <c:v>Reactivo CM</c:v>
                </c:pt>
                <c:pt idx="6">
                  <c:v>Reactivo D</c:v>
                </c:pt>
                <c:pt idx="7">
                  <c:v>Reactivo DE</c:v>
                </c:pt>
                <c:pt idx="8">
                  <c:v>Reactivo DX</c:v>
                </c:pt>
                <c:pt idx="9">
                  <c:v>Reactivo E</c:v>
                </c:pt>
                <c:pt idx="10">
                  <c:v>Reactivo EA</c:v>
                </c:pt>
                <c:pt idx="11">
                  <c:v>Reactivo F</c:v>
                </c:pt>
                <c:pt idx="12">
                  <c:v>Reactivo FL</c:v>
                </c:pt>
                <c:pt idx="13">
                  <c:v>Reactivo GI</c:v>
                </c:pt>
                <c:pt idx="14">
                  <c:v>Reactivo H</c:v>
                </c:pt>
                <c:pt idx="15">
                  <c:v>Reactivo HJ</c:v>
                </c:pt>
                <c:pt idx="16">
                  <c:v>Reactivo I</c:v>
                </c:pt>
                <c:pt idx="17">
                  <c:v>Reactivo IM</c:v>
                </c:pt>
                <c:pt idx="18">
                  <c:v>Reactivo IQ</c:v>
                </c:pt>
                <c:pt idx="19">
                  <c:v>Reactivo J</c:v>
                </c:pt>
                <c:pt idx="20">
                  <c:v>Reactivo KT</c:v>
                </c:pt>
                <c:pt idx="21">
                  <c:v>Reactivo L</c:v>
                </c:pt>
                <c:pt idx="22">
                  <c:v>Reactivo LA</c:v>
                </c:pt>
                <c:pt idx="23">
                  <c:v>Reactivo MY</c:v>
                </c:pt>
                <c:pt idx="24">
                  <c:v>Reactivo N</c:v>
                </c:pt>
                <c:pt idx="25">
                  <c:v>Reactivo O</c:v>
                </c:pt>
                <c:pt idx="26">
                  <c:v>Reactivo OF</c:v>
                </c:pt>
                <c:pt idx="27">
                  <c:v>Reactivo OY</c:v>
                </c:pt>
                <c:pt idx="28">
                  <c:v>Reactivo PE</c:v>
                </c:pt>
                <c:pt idx="29">
                  <c:v>Reactivo QK</c:v>
                </c:pt>
                <c:pt idx="30">
                  <c:v>Reactivo QQ</c:v>
                </c:pt>
                <c:pt idx="31">
                  <c:v>Reactivo R</c:v>
                </c:pt>
                <c:pt idx="32">
                  <c:v>Reactivo S</c:v>
                </c:pt>
                <c:pt idx="33">
                  <c:v>Reactivo U</c:v>
                </c:pt>
                <c:pt idx="34">
                  <c:v>Reactivo UT</c:v>
                </c:pt>
                <c:pt idx="35">
                  <c:v>Reactivo UZ</c:v>
                </c:pt>
                <c:pt idx="36">
                  <c:v>Reactivo V</c:v>
                </c:pt>
                <c:pt idx="37">
                  <c:v>Reactivo WZ</c:v>
                </c:pt>
                <c:pt idx="38">
                  <c:v>Reactivo X</c:v>
                </c:pt>
                <c:pt idx="39">
                  <c:v>Reactivo XX</c:v>
                </c:pt>
                <c:pt idx="40">
                  <c:v>Reactivo Z</c:v>
                </c:pt>
                <c:pt idx="41">
                  <c:v>Reactivo ZZ</c:v>
                </c:pt>
              </c:strCache>
            </c:strRef>
          </c:cat>
          <c:val>
            <c:numRef>
              <c:f>'grafico consumo'!$D$5:$D$47</c:f>
              <c:numCache>
                <c:formatCode>General</c:formatCode>
                <c:ptCount val="42"/>
                <c:pt idx="0">
                  <c:v>23</c:v>
                </c:pt>
                <c:pt idx="1">
                  <c:v>36</c:v>
                </c:pt>
                <c:pt idx="2">
                  <c:v>77</c:v>
                </c:pt>
                <c:pt idx="3">
                  <c:v>0</c:v>
                </c:pt>
                <c:pt idx="4">
                  <c:v>52</c:v>
                </c:pt>
                <c:pt idx="5">
                  <c:v>50</c:v>
                </c:pt>
                <c:pt idx="6">
                  <c:v>0</c:v>
                </c:pt>
                <c:pt idx="7">
                  <c:v>19</c:v>
                </c:pt>
                <c:pt idx="8">
                  <c:v>150</c:v>
                </c:pt>
                <c:pt idx="9">
                  <c:v>0</c:v>
                </c:pt>
                <c:pt idx="10">
                  <c:v>15</c:v>
                </c:pt>
                <c:pt idx="11">
                  <c:v>0</c:v>
                </c:pt>
                <c:pt idx="12">
                  <c:v>88</c:v>
                </c:pt>
                <c:pt idx="13">
                  <c:v>60</c:v>
                </c:pt>
                <c:pt idx="14">
                  <c:v>0</c:v>
                </c:pt>
                <c:pt idx="15">
                  <c:v>-73</c:v>
                </c:pt>
                <c:pt idx="16">
                  <c:v>0</c:v>
                </c:pt>
                <c:pt idx="17">
                  <c:v>61</c:v>
                </c:pt>
                <c:pt idx="18">
                  <c:v>135</c:v>
                </c:pt>
                <c:pt idx="19">
                  <c:v>0</c:v>
                </c:pt>
                <c:pt idx="20">
                  <c:v>78</c:v>
                </c:pt>
                <c:pt idx="21">
                  <c:v>0</c:v>
                </c:pt>
                <c:pt idx="22">
                  <c:v>6</c:v>
                </c:pt>
                <c:pt idx="23">
                  <c:v>62</c:v>
                </c:pt>
                <c:pt idx="24">
                  <c:v>0</c:v>
                </c:pt>
                <c:pt idx="25">
                  <c:v>0</c:v>
                </c:pt>
                <c:pt idx="26">
                  <c:v>47</c:v>
                </c:pt>
                <c:pt idx="27">
                  <c:v>143</c:v>
                </c:pt>
                <c:pt idx="28">
                  <c:v>75</c:v>
                </c:pt>
                <c:pt idx="29">
                  <c:v>125</c:v>
                </c:pt>
                <c:pt idx="30">
                  <c:v>98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49</c:v>
                </c:pt>
                <c:pt idx="35">
                  <c:v>85</c:v>
                </c:pt>
                <c:pt idx="36">
                  <c:v>0</c:v>
                </c:pt>
                <c:pt idx="37">
                  <c:v>2</c:v>
                </c:pt>
                <c:pt idx="38">
                  <c:v>0</c:v>
                </c:pt>
                <c:pt idx="39">
                  <c:v>33</c:v>
                </c:pt>
                <c:pt idx="40">
                  <c:v>0</c:v>
                </c:pt>
                <c:pt idx="41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C869-4C7F-BDCB-526F9C2324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70599679"/>
        <c:axId val="1270603039"/>
        <c:axId val="0"/>
      </c:bar3DChart>
      <c:catAx>
        <c:axId val="12705996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solidFill>
                        <a:schemeClr val="accent1"/>
                      </a:solidFill>
                    </a:ln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Nombre de reactivo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solidFill>
                      <a:schemeClr val="accent1"/>
                    </a:solidFill>
                  </a:ln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accent1"/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70603039"/>
        <c:crosses val="autoZero"/>
        <c:auto val="1"/>
        <c:lblAlgn val="ctr"/>
        <c:lblOffset val="100"/>
        <c:noMultiLvlLbl val="0"/>
      </c:catAx>
      <c:valAx>
        <c:axId val="1270603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solidFill>
                        <a:schemeClr val="accent1"/>
                      </a:solidFill>
                    </a:ln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Cantidad consumida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solidFill>
                      <a:schemeClr val="accent1"/>
                    </a:solidFill>
                  </a:ln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accent1"/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70599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solidFill>
                  <a:schemeClr val="accent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solidFill>
              <a:schemeClr val="accent1"/>
            </a:solidFill>
          </a:ln>
        </a:defRPr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95250</xdr:rowOff>
    </xdr:from>
    <xdr:to>
      <xdr:col>15</xdr:col>
      <xdr:colOff>752475</xdr:colOff>
      <xdr:row>28</xdr:row>
      <xdr:rowOff>114300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10D873B-58D6-3B09-8E4B-2763D650E469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ctagi Geronimo Ariel - Desarrollo Químico" refreshedDate="45496.398387037036" createdVersion="8" refreshedVersion="8" minRefreshableVersion="3" recordCount="80" xr:uid="{4B109C15-1B3E-4815-9298-CD100B9A0C0F}">
  <cacheSource type="worksheet">
    <worksheetSource ref="A1:G81" sheet="Hoja1-Datos"/>
  </cacheSource>
  <cacheFields count="10">
    <cacheField name="Código del reactivo" numFmtId="0">
      <sharedItems containsSemiMixedTypes="0" containsString="0" containsNumber="1" containsInteger="1" minValue="111" maxValue="190"/>
    </cacheField>
    <cacheField name="Nombre del reactivo" numFmtId="0">
      <sharedItems count="80">
        <s v="Reactivo A"/>
        <s v="Reactivo B"/>
        <s v="Reactivo C"/>
        <s v="Reactivo D"/>
        <s v="Reactivo E"/>
        <s v="Reactivo F"/>
        <s v="Reactivo G"/>
        <s v="Reactivo H"/>
        <s v="Reactivo I"/>
        <s v="Reactivo J"/>
        <s v="Reactivo K"/>
        <s v="Reactivo L"/>
        <s v="Reactivo M"/>
        <s v="Reactivo N"/>
        <s v="Reactivo O"/>
        <s v="Reactivo P"/>
        <s v="Reactivo Q"/>
        <s v="Reactivo R"/>
        <s v="Reactivo S"/>
        <s v="Reactivo T"/>
        <s v="Reactivo U"/>
        <s v="Reactivo V"/>
        <s v="Reactivo W"/>
        <s v="Reactivo X"/>
        <s v="Reactivo Y"/>
        <s v="Reactivo Z"/>
        <s v="Reactivo AA"/>
        <s v="Reactivo BB"/>
        <s v="Reactivo CC"/>
        <s v="Reactivo DD"/>
        <s v="Reactivo DE"/>
        <s v="Reactivo EE"/>
        <s v="Reactivo CD"/>
        <s v="Reactivo DF"/>
        <s v="Reactivo EG"/>
        <s v="Reactivo FH"/>
        <s v="Reactivo GI"/>
        <s v="Reactivo HJ"/>
        <s v="Reactivo IQ"/>
        <s v="Reactivo JV"/>
        <s v="Reactivo KK"/>
        <s v="Reactivo LZ"/>
        <s v="Reactivo MY"/>
        <s v="Reactivo NN"/>
        <s v="Reactivo OY"/>
        <s v="Reactivo PR"/>
        <s v="Reactivo QQ"/>
        <s v="Reactivo RA"/>
        <s v="Reactivo SX"/>
        <s v="Reactivo TX"/>
        <s v="Reactivo UZ"/>
        <s v="Reactivo VV"/>
        <s v="Reactivo WZ"/>
        <s v="Reactivo XX"/>
        <s v="Reactivo YX"/>
        <s v="Reactivo ZZ"/>
        <s v="Reactivo AZ"/>
        <s v="Reactivo BN"/>
        <s v="Reactivo CM"/>
        <s v="Reactivo DX"/>
        <s v="Reactivo EA"/>
        <s v="Reactivo FL"/>
        <s v="Reactivo GO"/>
        <s v="Reactivo HP"/>
        <s v="Reactivo IM"/>
        <s v="Reactivo JF"/>
        <s v="Reactivo KT"/>
        <s v="Reactivo LA"/>
        <s v="Reactivo MQ"/>
        <s v="Reactivo NI"/>
        <s v="Reactivo OF"/>
        <s v="Reactivo PE"/>
        <s v="Reactivo QK"/>
        <s v="Reactivo RE"/>
        <s v="Reactivo SJ"/>
        <s v="Reactivo TU"/>
        <s v="Reactivo UT"/>
        <s v="Reactivo VF"/>
        <s v="Reactivo WN"/>
        <s v="Reactivo XQ"/>
      </sharedItems>
    </cacheField>
    <cacheField name="Cantidad inicial" numFmtId="0">
      <sharedItems containsSemiMixedTypes="0" containsString="0" containsNumber="1" containsInteger="1" minValue="45" maxValue="199" count="66">
        <n v="100"/>
        <n v="50"/>
        <n v="75"/>
        <n v="60"/>
        <n v="90"/>
        <n v="80"/>
        <n v="70"/>
        <n v="85"/>
        <n v="95"/>
        <n v="55"/>
        <n v="65"/>
        <n v="45"/>
        <n v="110"/>
        <n v="105"/>
        <n v="115"/>
        <n v="120"/>
        <n v="125"/>
        <n v="130"/>
        <n v="135"/>
        <n v="140"/>
        <n v="145"/>
        <n v="150"/>
        <n v="155"/>
        <n v="160"/>
        <n v="165"/>
        <n v="170"/>
        <n v="175"/>
        <n v="180"/>
        <n v="185"/>
        <n v="190"/>
        <n v="112"/>
        <n v="87"/>
        <n v="152"/>
        <n v="183"/>
        <n v="66"/>
        <n v="174"/>
        <n v="141"/>
        <n v="88"/>
        <n v="142"/>
        <n v="147"/>
        <n v="163"/>
        <n v="198"/>
        <n v="124"/>
        <n v="199"/>
        <n v="97"/>
        <n v="167"/>
        <n v="116"/>
        <n v="72"/>
        <n v="76"/>
        <n v="54"/>
        <n v="162"/>
        <n v="94"/>
        <n v="114"/>
        <n v="63"/>
        <n v="57"/>
        <n v="195"/>
        <n v="129"/>
        <n v="77"/>
        <n v="123"/>
        <n v="109"/>
        <n v="86"/>
        <n v="176"/>
        <n v="154"/>
        <n v="161"/>
        <n v="111"/>
        <n v="68"/>
      </sharedItems>
    </cacheField>
    <cacheField name="Cantidad actual" numFmtId="0">
      <sharedItems containsSemiMixedTypes="0" containsString="0" containsNumber="1" containsInteger="1" minValue="4" maxValue="165" count="62">
        <n v="77"/>
        <n v="15"/>
        <n v="53"/>
        <n v="8"/>
        <n v="35"/>
        <n v="34"/>
        <n v="22"/>
        <n v="7"/>
        <n v="23"/>
        <n v="45"/>
        <n v="90"/>
        <n v="40"/>
        <n v="41"/>
        <n v="24"/>
        <n v="78"/>
        <n v="100"/>
        <n v="96"/>
        <n v="56"/>
        <n v="88"/>
        <n v="141"/>
        <n v="31"/>
        <n v="135"/>
        <n v="10"/>
        <n v="63"/>
        <n v="165"/>
        <n v="110"/>
        <n v="131"/>
        <n v="92"/>
        <n v="127"/>
        <n v="98"/>
        <n v="130"/>
        <n v="139"/>
        <n v="39"/>
        <n v="50"/>
        <n v="87"/>
        <n v="83"/>
        <n v="85"/>
        <n v="124"/>
        <n v="55"/>
        <n v="122"/>
        <n v="101"/>
        <n v="81"/>
        <n v="42"/>
        <n v="145"/>
        <n v="43"/>
        <n v="67"/>
        <n v="84"/>
        <n v="93"/>
        <n v="12"/>
        <n v="79"/>
        <n v="26"/>
        <n v="4"/>
        <n v="134"/>
        <n v="25"/>
        <n v="51"/>
        <n v="71"/>
        <n v="69"/>
        <n v="38"/>
        <n v="62"/>
        <n v="11"/>
        <n v="32"/>
        <n v="72"/>
      </sharedItems>
    </cacheField>
    <cacheField name="Fecha de entrada" numFmtId="0">
      <sharedItems/>
    </cacheField>
    <cacheField name="Fecha de salida" numFmtId="14">
      <sharedItems containsNonDate="0" containsDate="1" containsString="0" containsBlank="1" minDate="2023-02-25T00:00:00" maxDate="2023-10-31T00:00:00" count="39">
        <d v="2023-07-17T00:00:00"/>
        <d v="2023-08-15T00:00:00"/>
        <d v="2023-05-14T00:00:00"/>
        <d v="2023-06-15T00:00:00"/>
        <d v="2023-05-23T00:00:00"/>
        <d v="2023-09-04T00:00:00"/>
        <m/>
        <d v="2023-09-12T00:00:00"/>
        <d v="2023-05-24T00:00:00"/>
        <d v="2023-04-12T00:00:00"/>
        <d v="2023-04-13T00:00:00"/>
        <d v="2023-02-25T00:00:00"/>
        <d v="2023-05-07T00:00:00"/>
        <d v="2023-06-18T00:00:00"/>
        <d v="2023-09-27T00:00:00"/>
        <d v="2023-06-19T00:00:00"/>
        <d v="2023-04-18T00:00:00"/>
        <d v="2023-09-13T00:00:00"/>
        <d v="2023-03-03T00:00:00"/>
        <d v="2023-10-23T00:00:00"/>
        <d v="2023-07-12T00:00:00"/>
        <d v="2023-10-12T00:00:00"/>
        <d v="2023-10-13T00:00:00"/>
        <d v="2023-07-18T00:00:00"/>
        <d v="2023-10-11T00:00:00"/>
        <d v="2023-07-22T00:00:00"/>
        <d v="2023-10-30T00:00:00"/>
        <d v="2023-07-15T00:00:00"/>
        <d v="2023-08-31T00:00:00"/>
        <d v="2023-07-26T00:00:00"/>
        <d v="2023-09-19T00:00:00"/>
        <d v="2023-07-31T00:00:00"/>
        <d v="2023-08-17T00:00:00"/>
        <d v="2023-07-13T00:00:00"/>
        <d v="2023-07-23T00:00:00"/>
        <d v="2023-09-23T00:00:00"/>
        <d v="2023-07-27T00:00:00"/>
        <d v="2023-08-22T00:00:00"/>
        <d v="2023-10-25T00:00:00"/>
      </sharedItems>
      <fieldGroup par="8"/>
    </cacheField>
    <cacheField name="Responsable" numFmtId="0">
      <sharedItems count="5">
        <s v="Juan"/>
        <s v="María"/>
        <s v="Pedro"/>
        <s v="Ana"/>
        <s v="Andrés"/>
      </sharedItems>
    </cacheField>
    <cacheField name="Días (Fecha de salida)" numFmtId="0" databaseField="0">
      <fieldGroup base="5">
        <rangePr groupBy="days" startDate="2023-02-25T00:00:00" endDate="2023-10-31T00:00:00"/>
        <groupItems count="368">
          <s v="&lt;25/2/2023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31/10/2023"/>
        </groupItems>
      </fieldGroup>
    </cacheField>
    <cacheField name="Meses (Fecha de salida)" numFmtId="0" databaseField="0">
      <fieldGroup base="5">
        <rangePr groupBy="months" startDate="2023-02-25T00:00:00" endDate="2023-10-31T00:00:00"/>
        <groupItems count="14">
          <s v="&lt;25/2/2023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31/10/2023"/>
        </groupItems>
      </fieldGroup>
    </cacheField>
    <cacheField name="Cantidad consumida" numFmtId="0" formula="'Cantidad inicial' -'Cantidad actu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n v="111"/>
    <x v="0"/>
    <x v="0"/>
    <x v="0"/>
    <s v="31/01/2023"/>
    <x v="0"/>
    <x v="0"/>
  </r>
  <r>
    <n v="112"/>
    <x v="1"/>
    <x v="1"/>
    <x v="1"/>
    <s v="28/02/2023"/>
    <x v="1"/>
    <x v="1"/>
  </r>
  <r>
    <n v="113"/>
    <x v="2"/>
    <x v="2"/>
    <x v="2"/>
    <s v="31/03/2023"/>
    <x v="2"/>
    <x v="2"/>
  </r>
  <r>
    <n v="114"/>
    <x v="3"/>
    <x v="3"/>
    <x v="3"/>
    <s v="30/04/2023"/>
    <x v="3"/>
    <x v="3"/>
  </r>
  <r>
    <n v="115"/>
    <x v="4"/>
    <x v="4"/>
    <x v="4"/>
    <s v="31/05/2023"/>
    <x v="4"/>
    <x v="1"/>
  </r>
  <r>
    <n v="116"/>
    <x v="5"/>
    <x v="5"/>
    <x v="5"/>
    <s v="30/06/2023"/>
    <x v="3"/>
    <x v="3"/>
  </r>
  <r>
    <n v="117"/>
    <x v="6"/>
    <x v="6"/>
    <x v="6"/>
    <s v="31/07/2023"/>
    <x v="5"/>
    <x v="4"/>
  </r>
  <r>
    <n v="118"/>
    <x v="7"/>
    <x v="7"/>
    <x v="7"/>
    <s v="31/08/2023"/>
    <x v="3"/>
    <x v="0"/>
  </r>
  <r>
    <n v="119"/>
    <x v="8"/>
    <x v="8"/>
    <x v="8"/>
    <s v="30/09/2023"/>
    <x v="3"/>
    <x v="0"/>
  </r>
  <r>
    <n v="120"/>
    <x v="9"/>
    <x v="9"/>
    <x v="9"/>
    <s v="31/10/2023"/>
    <x v="3"/>
    <x v="0"/>
  </r>
  <r>
    <n v="121"/>
    <x v="10"/>
    <x v="10"/>
    <x v="10"/>
    <s v="30/11/2023"/>
    <x v="6"/>
    <x v="0"/>
  </r>
  <r>
    <n v="122"/>
    <x v="11"/>
    <x v="11"/>
    <x v="11"/>
    <s v="31/12/2023"/>
    <x v="3"/>
    <x v="1"/>
  </r>
  <r>
    <n v="123"/>
    <x v="12"/>
    <x v="12"/>
    <x v="12"/>
    <s v="31/01/2024"/>
    <x v="7"/>
    <x v="3"/>
  </r>
  <r>
    <n v="124"/>
    <x v="13"/>
    <x v="13"/>
    <x v="13"/>
    <s v="29/02/2024"/>
    <x v="3"/>
    <x v="3"/>
  </r>
  <r>
    <n v="125"/>
    <x v="14"/>
    <x v="14"/>
    <x v="5"/>
    <s v="31/03/2024"/>
    <x v="8"/>
    <x v="2"/>
  </r>
  <r>
    <n v="126"/>
    <x v="15"/>
    <x v="15"/>
    <x v="14"/>
    <s v="30/04/2024"/>
    <x v="9"/>
    <x v="1"/>
  </r>
  <r>
    <n v="127"/>
    <x v="16"/>
    <x v="16"/>
    <x v="15"/>
    <s v="31/05/2024"/>
    <x v="10"/>
    <x v="1"/>
  </r>
  <r>
    <n v="128"/>
    <x v="17"/>
    <x v="17"/>
    <x v="16"/>
    <s v="30/06/2024"/>
    <x v="3"/>
    <x v="1"/>
  </r>
  <r>
    <n v="129"/>
    <x v="18"/>
    <x v="18"/>
    <x v="16"/>
    <s v="31/07/2024"/>
    <x v="3"/>
    <x v="3"/>
  </r>
  <r>
    <n v="130"/>
    <x v="19"/>
    <x v="19"/>
    <x v="17"/>
    <s v="31/08/2024"/>
    <x v="11"/>
    <x v="4"/>
  </r>
  <r>
    <n v="131"/>
    <x v="20"/>
    <x v="20"/>
    <x v="18"/>
    <s v="30/09/2024"/>
    <x v="12"/>
    <x v="0"/>
  </r>
  <r>
    <n v="132"/>
    <x v="21"/>
    <x v="21"/>
    <x v="19"/>
    <s v="31/10/2024"/>
    <x v="13"/>
    <x v="2"/>
  </r>
  <r>
    <n v="133"/>
    <x v="22"/>
    <x v="22"/>
    <x v="20"/>
    <s v="30/11/2024"/>
    <x v="14"/>
    <x v="3"/>
  </r>
  <r>
    <n v="134"/>
    <x v="23"/>
    <x v="23"/>
    <x v="21"/>
    <s v="31/12/2024"/>
    <x v="3"/>
    <x v="3"/>
  </r>
  <r>
    <n v="135"/>
    <x v="24"/>
    <x v="24"/>
    <x v="22"/>
    <s v="31/01/2025"/>
    <x v="9"/>
    <x v="0"/>
  </r>
  <r>
    <n v="136"/>
    <x v="25"/>
    <x v="25"/>
    <x v="23"/>
    <s v="28/02/2025"/>
    <x v="15"/>
    <x v="1"/>
  </r>
  <r>
    <n v="137"/>
    <x v="26"/>
    <x v="26"/>
    <x v="13"/>
    <s v="31/03/2025"/>
    <x v="16"/>
    <x v="4"/>
  </r>
  <r>
    <n v="138"/>
    <x v="27"/>
    <x v="27"/>
    <x v="24"/>
    <s v="30/04/2025"/>
    <x v="7"/>
    <x v="0"/>
  </r>
  <r>
    <n v="139"/>
    <x v="28"/>
    <x v="28"/>
    <x v="18"/>
    <s v="31/05/2025"/>
    <x v="17"/>
    <x v="0"/>
  </r>
  <r>
    <n v="140"/>
    <x v="29"/>
    <x v="29"/>
    <x v="25"/>
    <s v="30/06/2025"/>
    <x v="18"/>
    <x v="2"/>
  </r>
  <r>
    <n v="141"/>
    <x v="30"/>
    <x v="21"/>
    <x v="26"/>
    <s v="1/02/2023"/>
    <x v="0"/>
    <x v="3"/>
  </r>
  <r>
    <n v="142"/>
    <x v="31"/>
    <x v="30"/>
    <x v="27"/>
    <s v="2/02/2023"/>
    <x v="19"/>
    <x v="3"/>
  </r>
  <r>
    <n v="143"/>
    <x v="32"/>
    <x v="31"/>
    <x v="4"/>
    <s v="3/02/2023"/>
    <x v="20"/>
    <x v="1"/>
  </r>
  <r>
    <n v="144"/>
    <x v="33"/>
    <x v="25"/>
    <x v="28"/>
    <s v="4/02/2023"/>
    <x v="21"/>
    <x v="0"/>
  </r>
  <r>
    <n v="145"/>
    <x v="34"/>
    <x v="32"/>
    <x v="29"/>
    <s v="5/02/2023"/>
    <x v="21"/>
    <x v="0"/>
  </r>
  <r>
    <n v="146"/>
    <x v="35"/>
    <x v="33"/>
    <x v="23"/>
    <s v="6/02/2023"/>
    <x v="22"/>
    <x v="0"/>
  </r>
  <r>
    <n v="147"/>
    <x v="36"/>
    <x v="29"/>
    <x v="30"/>
    <s v="7/02/2023"/>
    <x v="0"/>
    <x v="1"/>
  </r>
  <r>
    <n v="148"/>
    <x v="37"/>
    <x v="34"/>
    <x v="31"/>
    <s v="8/02/2023"/>
    <x v="23"/>
    <x v="1"/>
  </r>
  <r>
    <n v="149"/>
    <x v="38"/>
    <x v="35"/>
    <x v="32"/>
    <s v="9/02/2023"/>
    <x v="0"/>
    <x v="1"/>
  </r>
  <r>
    <n v="150"/>
    <x v="39"/>
    <x v="36"/>
    <x v="33"/>
    <s v="10/02/2023"/>
    <x v="19"/>
    <x v="3"/>
  </r>
  <r>
    <n v="151"/>
    <x v="40"/>
    <x v="37"/>
    <x v="34"/>
    <s v="11/02/2023"/>
    <x v="24"/>
    <x v="1"/>
  </r>
  <r>
    <n v="152"/>
    <x v="41"/>
    <x v="38"/>
    <x v="35"/>
    <s v="12/02/2023"/>
    <x v="21"/>
    <x v="1"/>
  </r>
  <r>
    <n v="153"/>
    <x v="42"/>
    <x v="39"/>
    <x v="36"/>
    <s v="13/02/2023"/>
    <x v="25"/>
    <x v="0"/>
  </r>
  <r>
    <n v="154"/>
    <x v="43"/>
    <x v="40"/>
    <x v="37"/>
    <s v="14/02/2023"/>
    <x v="26"/>
    <x v="3"/>
  </r>
  <r>
    <n v="155"/>
    <x v="44"/>
    <x v="41"/>
    <x v="38"/>
    <s v="15/02/2023"/>
    <x v="27"/>
    <x v="0"/>
  </r>
  <r>
    <n v="156"/>
    <x v="45"/>
    <x v="42"/>
    <x v="39"/>
    <s v="16/02/2023"/>
    <x v="28"/>
    <x v="3"/>
  </r>
  <r>
    <n v="157"/>
    <x v="46"/>
    <x v="43"/>
    <x v="40"/>
    <s v="17/02/2023"/>
    <x v="29"/>
    <x v="1"/>
  </r>
  <r>
    <n v="158"/>
    <x v="47"/>
    <x v="44"/>
    <x v="36"/>
    <s v="18/02/2023"/>
    <x v="30"/>
    <x v="0"/>
  </r>
  <r>
    <n v="159"/>
    <x v="48"/>
    <x v="45"/>
    <x v="27"/>
    <s v="19/02/2023"/>
    <x v="30"/>
    <x v="0"/>
  </r>
  <r>
    <n v="160"/>
    <x v="49"/>
    <x v="19"/>
    <x v="41"/>
    <s v="20/02/2023"/>
    <x v="26"/>
    <x v="3"/>
  </r>
  <r>
    <n v="161"/>
    <x v="50"/>
    <x v="46"/>
    <x v="20"/>
    <s v="21/02/2023"/>
    <x v="0"/>
    <x v="3"/>
  </r>
  <r>
    <n v="162"/>
    <x v="51"/>
    <x v="47"/>
    <x v="42"/>
    <s v="22/02/2023"/>
    <x v="5"/>
    <x v="3"/>
  </r>
  <r>
    <n v="163"/>
    <x v="52"/>
    <x v="39"/>
    <x v="43"/>
    <s v="23/02/2023"/>
    <x v="0"/>
    <x v="3"/>
  </r>
  <r>
    <n v="164"/>
    <x v="53"/>
    <x v="48"/>
    <x v="44"/>
    <s v="24/02/2023"/>
    <x v="31"/>
    <x v="1"/>
  </r>
  <r>
    <n v="165"/>
    <x v="54"/>
    <x v="49"/>
    <x v="11"/>
    <s v="25/02/2023"/>
    <x v="32"/>
    <x v="3"/>
  </r>
  <r>
    <n v="166"/>
    <x v="55"/>
    <x v="17"/>
    <x v="45"/>
    <s v="26/02/2023"/>
    <x v="29"/>
    <x v="1"/>
  </r>
  <r>
    <n v="167"/>
    <x v="56"/>
    <x v="15"/>
    <x v="46"/>
    <s v="27/02/2023"/>
    <x v="20"/>
    <x v="1"/>
  </r>
  <r>
    <n v="168"/>
    <x v="57"/>
    <x v="25"/>
    <x v="47"/>
    <s v="28/02/2023"/>
    <x v="33"/>
    <x v="1"/>
  </r>
  <r>
    <n v="169"/>
    <x v="58"/>
    <x v="3"/>
    <x v="22"/>
    <s v="1/03/2023"/>
    <x v="34"/>
    <x v="1"/>
  </r>
  <r>
    <n v="170"/>
    <x v="59"/>
    <x v="50"/>
    <x v="48"/>
    <s v="2/03/2023"/>
    <x v="34"/>
    <x v="1"/>
  </r>
  <r>
    <n v="171"/>
    <x v="60"/>
    <x v="51"/>
    <x v="49"/>
    <s v="3/03/2023"/>
    <x v="0"/>
    <x v="3"/>
  </r>
  <r>
    <n v="172"/>
    <x v="61"/>
    <x v="52"/>
    <x v="50"/>
    <s v="4/03/2023"/>
    <x v="23"/>
    <x v="0"/>
  </r>
  <r>
    <n v="173"/>
    <x v="62"/>
    <x v="53"/>
    <x v="51"/>
    <s v="5/03/2023"/>
    <x v="35"/>
    <x v="3"/>
  </r>
  <r>
    <n v="174"/>
    <x v="63"/>
    <x v="54"/>
    <x v="0"/>
    <s v="6/03/2023"/>
    <x v="6"/>
    <x v="3"/>
  </r>
  <r>
    <n v="175"/>
    <x v="64"/>
    <x v="55"/>
    <x v="52"/>
    <s v="7/03/2023"/>
    <x v="0"/>
    <x v="1"/>
  </r>
  <r>
    <n v="176"/>
    <x v="65"/>
    <x v="47"/>
    <x v="53"/>
    <s v="8/03/2023"/>
    <x v="28"/>
    <x v="3"/>
  </r>
  <r>
    <n v="177"/>
    <x v="66"/>
    <x v="56"/>
    <x v="54"/>
    <s v="9/03/2023"/>
    <x v="0"/>
    <x v="0"/>
  </r>
  <r>
    <n v="178"/>
    <x v="67"/>
    <x v="57"/>
    <x v="55"/>
    <s v="10/03/2023"/>
    <x v="36"/>
    <x v="3"/>
  </r>
  <r>
    <n v="179"/>
    <x v="68"/>
    <x v="1"/>
    <x v="56"/>
    <s v="11/03/2023"/>
    <x v="37"/>
    <x v="1"/>
  </r>
  <r>
    <n v="180"/>
    <x v="69"/>
    <x v="58"/>
    <x v="57"/>
    <s v="12/03/2023"/>
    <x v="7"/>
    <x v="0"/>
  </r>
  <r>
    <n v="181"/>
    <x v="70"/>
    <x v="59"/>
    <x v="58"/>
    <s v="13/03/2023"/>
    <x v="0"/>
    <x v="0"/>
  </r>
  <r>
    <n v="182"/>
    <x v="71"/>
    <x v="60"/>
    <x v="59"/>
    <s v="14/03/2023"/>
    <x v="23"/>
    <x v="0"/>
  </r>
  <r>
    <n v="183"/>
    <x v="72"/>
    <x v="61"/>
    <x v="54"/>
    <s v="15/03/2023"/>
    <x v="23"/>
    <x v="1"/>
  </r>
  <r>
    <n v="184"/>
    <x v="73"/>
    <x v="2"/>
    <x v="60"/>
    <s v="16/03/2023"/>
    <x v="24"/>
    <x v="1"/>
  </r>
  <r>
    <n v="185"/>
    <x v="74"/>
    <x v="62"/>
    <x v="45"/>
    <s v="17/03/2023"/>
    <x v="38"/>
    <x v="1"/>
  </r>
  <r>
    <n v="186"/>
    <x v="75"/>
    <x v="63"/>
    <x v="61"/>
    <s v="18/03/2023"/>
    <x v="22"/>
    <x v="0"/>
  </r>
  <r>
    <n v="187"/>
    <x v="76"/>
    <x v="64"/>
    <x v="58"/>
    <s v="19/03/2023"/>
    <x v="36"/>
    <x v="3"/>
  </r>
  <r>
    <n v="188"/>
    <x v="77"/>
    <x v="65"/>
    <x v="38"/>
    <s v="20/03/2023"/>
    <x v="17"/>
    <x v="3"/>
  </r>
  <r>
    <n v="189"/>
    <x v="78"/>
    <x v="42"/>
    <x v="19"/>
    <s v="21/03/2023"/>
    <x v="6"/>
    <x v="1"/>
  </r>
  <r>
    <n v="190"/>
    <x v="79"/>
    <x v="16"/>
    <x v="43"/>
    <s v="22/03/2023"/>
    <x v="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E2DFD0-21DB-45E6-B898-BECB30568FEC}" name="TablaDinámica3" cacheId="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8:P34" firstHeaderRow="1" firstDataRow="4" firstDataCol="1"/>
  <pivotFields count="10">
    <pivotField showAll="0"/>
    <pivotField axis="axisRow" showAll="0" measureFilter="1">
      <items count="81">
        <item x="0"/>
        <item x="26"/>
        <item x="56"/>
        <item x="1"/>
        <item x="27"/>
        <item x="57"/>
        <item x="2"/>
        <item x="28"/>
        <item x="32"/>
        <item x="58"/>
        <item x="3"/>
        <item x="29"/>
        <item x="30"/>
        <item x="33"/>
        <item x="59"/>
        <item x="4"/>
        <item x="60"/>
        <item x="31"/>
        <item x="34"/>
        <item x="5"/>
        <item x="35"/>
        <item x="61"/>
        <item x="6"/>
        <item x="36"/>
        <item x="62"/>
        <item x="7"/>
        <item x="37"/>
        <item x="63"/>
        <item x="8"/>
        <item x="64"/>
        <item x="38"/>
        <item x="9"/>
        <item x="65"/>
        <item x="39"/>
        <item x="10"/>
        <item x="40"/>
        <item x="66"/>
        <item x="11"/>
        <item x="67"/>
        <item x="41"/>
        <item x="12"/>
        <item x="68"/>
        <item x="42"/>
        <item x="13"/>
        <item x="69"/>
        <item x="43"/>
        <item x="14"/>
        <item x="70"/>
        <item x="44"/>
        <item x="15"/>
        <item x="71"/>
        <item x="45"/>
        <item x="16"/>
        <item x="72"/>
        <item x="46"/>
        <item x="17"/>
        <item x="47"/>
        <item x="73"/>
        <item x="18"/>
        <item x="74"/>
        <item x="48"/>
        <item x="19"/>
        <item x="75"/>
        <item x="49"/>
        <item x="20"/>
        <item x="76"/>
        <item x="50"/>
        <item x="21"/>
        <item x="77"/>
        <item x="51"/>
        <item x="22"/>
        <item x="78"/>
        <item x="52"/>
        <item x="23"/>
        <item x="79"/>
        <item x="53"/>
        <item x="24"/>
        <item x="54"/>
        <item x="25"/>
        <item x="55"/>
        <item t="default"/>
      </items>
    </pivotField>
    <pivotField dataField="1" showAll="0" includeNewItemsInFilter="1" defaultSubtotal="0">
      <items count="66">
        <item x="11"/>
        <item x="1"/>
        <item x="49"/>
        <item x="9"/>
        <item x="54"/>
        <item x="3"/>
        <item x="53"/>
        <item x="10"/>
        <item x="34"/>
        <item x="65"/>
        <item x="6"/>
        <item x="47"/>
        <item x="2"/>
        <item x="48"/>
        <item x="57"/>
        <item x="5"/>
        <item x="7"/>
        <item x="60"/>
        <item x="31"/>
        <item x="37"/>
        <item x="4"/>
        <item x="51"/>
        <item x="8"/>
        <item x="44"/>
        <item x="0"/>
        <item x="13"/>
        <item x="59"/>
        <item x="12"/>
        <item x="64"/>
        <item x="30"/>
        <item x="52"/>
        <item x="14"/>
        <item x="46"/>
        <item x="15"/>
        <item x="58"/>
        <item x="42"/>
        <item x="16"/>
        <item x="56"/>
        <item x="17"/>
        <item x="18"/>
        <item x="19"/>
        <item x="36"/>
        <item x="38"/>
        <item x="20"/>
        <item x="39"/>
        <item x="21"/>
        <item x="32"/>
        <item x="62"/>
        <item x="22"/>
        <item x="23"/>
        <item x="63"/>
        <item x="50"/>
        <item x="40"/>
        <item x="24"/>
        <item x="45"/>
        <item x="25"/>
        <item x="35"/>
        <item x="26"/>
        <item x="61"/>
        <item x="27"/>
        <item x="33"/>
        <item x="28"/>
        <item x="29"/>
        <item x="55"/>
        <item x="41"/>
        <item x="43"/>
      </items>
    </pivotField>
    <pivotField dataField="1" showAll="0">
      <items count="63">
        <item x="51"/>
        <item x="7"/>
        <item x="3"/>
        <item x="22"/>
        <item x="59"/>
        <item x="48"/>
        <item x="1"/>
        <item x="6"/>
        <item x="8"/>
        <item x="13"/>
        <item x="53"/>
        <item x="50"/>
        <item x="20"/>
        <item x="60"/>
        <item x="5"/>
        <item x="4"/>
        <item x="57"/>
        <item x="32"/>
        <item x="11"/>
        <item x="12"/>
        <item x="42"/>
        <item x="44"/>
        <item x="9"/>
        <item x="33"/>
        <item x="54"/>
        <item x="2"/>
        <item x="38"/>
        <item x="17"/>
        <item x="58"/>
        <item x="23"/>
        <item x="45"/>
        <item x="56"/>
        <item x="55"/>
        <item x="61"/>
        <item x="0"/>
        <item x="14"/>
        <item x="49"/>
        <item x="41"/>
        <item x="35"/>
        <item x="46"/>
        <item x="36"/>
        <item x="34"/>
        <item x="18"/>
        <item x="10"/>
        <item x="27"/>
        <item x="47"/>
        <item x="16"/>
        <item x="29"/>
        <item x="15"/>
        <item x="40"/>
        <item x="25"/>
        <item x="39"/>
        <item x="37"/>
        <item x="28"/>
        <item x="30"/>
        <item x="26"/>
        <item x="52"/>
        <item x="21"/>
        <item x="31"/>
        <item x="19"/>
        <item x="43"/>
        <item x="24"/>
        <item t="default"/>
      </items>
    </pivotField>
    <pivotField showAll="0"/>
    <pivotField axis="axisCol" showAll="0">
      <items count="40">
        <item x="11"/>
        <item x="18"/>
        <item x="9"/>
        <item x="10"/>
        <item x="16"/>
        <item x="12"/>
        <item x="2"/>
        <item x="4"/>
        <item x="8"/>
        <item x="3"/>
        <item x="13"/>
        <item x="15"/>
        <item x="20"/>
        <item x="33"/>
        <item x="27"/>
        <item x="0"/>
        <item x="23"/>
        <item x="25"/>
        <item x="34"/>
        <item x="29"/>
        <item x="36"/>
        <item x="31"/>
        <item x="1"/>
        <item x="32"/>
        <item x="37"/>
        <item x="28"/>
        <item x="5"/>
        <item x="7"/>
        <item x="17"/>
        <item x="30"/>
        <item x="35"/>
        <item x="14"/>
        <item x="24"/>
        <item x="21"/>
        <item x="22"/>
        <item x="19"/>
        <item x="38"/>
        <item x="26"/>
        <item x="6"/>
        <item t="default"/>
      </items>
    </pivotField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</items>
    </pivotField>
    <pivotField axis="axisCol" showAll="0" defaultSubtotal="0">
      <items count="14">
        <item sd="0" x="0"/>
        <item h="1" sd="0" x="1"/>
        <item h="1" sd="0" x="2"/>
        <item h="1" sd="0" x="3"/>
        <item h="1" sd="0" x="4"/>
        <item h="1" sd="0" x="5"/>
        <item h="1" sd="0" x="6"/>
        <item h="1" sd="0" x="7"/>
        <item sd="0" x="8"/>
        <item sd="0" x="9"/>
        <item sd="0" x="10"/>
        <item h="1" sd="0" x="11"/>
        <item h="1" sd="0" x="12"/>
        <item sd="0" x="13"/>
      </items>
    </pivotField>
    <pivotField dataField="1" dragToRow="0" dragToCol="0" dragToPage="0" showAll="0" defaultSubtotal="0"/>
  </pivotFields>
  <rowFields count="1">
    <field x="1"/>
  </rowFields>
  <rowItems count="13">
    <i>
      <x v="7"/>
    </i>
    <i>
      <x v="20"/>
    </i>
    <i>
      <x v="24"/>
    </i>
    <i>
      <x v="33"/>
    </i>
    <i>
      <x v="39"/>
    </i>
    <i>
      <x v="40"/>
    </i>
    <i>
      <x v="44"/>
    </i>
    <i>
      <x v="59"/>
    </i>
    <i>
      <x v="60"/>
    </i>
    <i>
      <x v="62"/>
    </i>
    <i>
      <x v="63"/>
    </i>
    <i>
      <x v="70"/>
    </i>
    <i t="grand">
      <x/>
    </i>
  </rowItems>
  <colFields count="3">
    <field x="8"/>
    <field x="-2"/>
    <field x="5"/>
  </colFields>
  <colItems count="15">
    <i>
      <x/>
      <x/>
    </i>
    <i r="1" i="1">
      <x v="1"/>
    </i>
    <i r="1" i="2">
      <x v="2"/>
    </i>
    <i>
      <x v="8"/>
      <x/>
    </i>
    <i r="1" i="1">
      <x v="1"/>
    </i>
    <i r="1" i="2">
      <x v="2"/>
    </i>
    <i>
      <x v="9"/>
      <x/>
    </i>
    <i r="1" i="1">
      <x v="1"/>
    </i>
    <i r="1" i="2">
      <x v="2"/>
    </i>
    <i>
      <x v="10"/>
      <x/>
    </i>
    <i r="1" i="1">
      <x v="1"/>
    </i>
    <i r="1" i="2">
      <x v="2"/>
    </i>
    <i t="grand">
      <x/>
    </i>
    <i t="grand" i="1">
      <x/>
    </i>
    <i t="grand" i="2">
      <x/>
    </i>
  </colItems>
  <dataFields count="3">
    <dataField name="Suma de Cantidad inicial" fld="2" baseField="0" baseItem="0"/>
    <dataField name="Suma de Cantidad actual" fld="3" baseField="0" baseItem="0"/>
    <dataField name="Suma de Cantidad consumida" fld="9" baseField="1" baseItem="0"/>
  </dataFields>
  <pivotTableStyleInfo name="PivotStyleLight16" showRowHeaders="1" showColHeaders="1" showRowStripes="0" showColStripes="0" showLastColumn="1"/>
  <filters count="1">
    <filter fld="1" type="count" evalOrder="-1" id="2" iMeasureFld="2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7BE507-13CA-40D2-BA8F-3D3F60360CD9}" name="TablaDinámica2" cacheId="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G15" firstHeaderRow="1" firstDataRow="2" firstDataCol="1"/>
  <pivotFields count="10">
    <pivotField dataField="1" showAll="0"/>
    <pivotField showAll="0" includeNewItemsInFilter="1">
      <items count="81">
        <item x="0"/>
        <item x="26"/>
        <item x="56"/>
        <item x="1"/>
        <item x="27"/>
        <item x="57"/>
        <item x="2"/>
        <item x="28"/>
        <item x="32"/>
        <item x="58"/>
        <item x="3"/>
        <item x="29"/>
        <item x="30"/>
        <item x="33"/>
        <item x="59"/>
        <item x="4"/>
        <item x="60"/>
        <item x="31"/>
        <item x="34"/>
        <item x="5"/>
        <item x="35"/>
        <item x="61"/>
        <item x="6"/>
        <item x="36"/>
        <item x="62"/>
        <item x="7"/>
        <item x="37"/>
        <item x="63"/>
        <item x="8"/>
        <item x="64"/>
        <item x="38"/>
        <item x="9"/>
        <item x="65"/>
        <item x="39"/>
        <item x="10"/>
        <item x="40"/>
        <item x="66"/>
        <item x="11"/>
        <item x="67"/>
        <item x="41"/>
        <item x="12"/>
        <item x="68"/>
        <item x="42"/>
        <item x="13"/>
        <item x="69"/>
        <item x="43"/>
        <item x="14"/>
        <item x="70"/>
        <item x="44"/>
        <item x="15"/>
        <item x="71"/>
        <item x="45"/>
        <item x="16"/>
        <item x="72"/>
        <item x="46"/>
        <item x="17"/>
        <item x="47"/>
        <item x="73"/>
        <item x="18"/>
        <item x="74"/>
        <item x="48"/>
        <item x="19"/>
        <item x="75"/>
        <item x="49"/>
        <item x="20"/>
        <item x="76"/>
        <item x="50"/>
        <item x="21"/>
        <item x="77"/>
        <item x="51"/>
        <item x="22"/>
        <item x="78"/>
        <item x="52"/>
        <item x="23"/>
        <item x="79"/>
        <item x="53"/>
        <item x="24"/>
        <item x="54"/>
        <item x="25"/>
        <item x="55"/>
        <item t="default"/>
      </items>
    </pivotField>
    <pivotField showAll="0"/>
    <pivotField showAll="0"/>
    <pivotField showAll="0"/>
    <pivotField axis="axisRow" showAll="0">
      <items count="40">
        <item x="11"/>
        <item x="18"/>
        <item x="9"/>
        <item x="10"/>
        <item x="16"/>
        <item x="12"/>
        <item x="2"/>
        <item x="4"/>
        <item x="8"/>
        <item x="3"/>
        <item x="13"/>
        <item x="15"/>
        <item x="20"/>
        <item x="33"/>
        <item x="27"/>
        <item x="0"/>
        <item x="23"/>
        <item x="25"/>
        <item x="34"/>
        <item x="29"/>
        <item x="36"/>
        <item x="31"/>
        <item x="1"/>
        <item x="32"/>
        <item x="37"/>
        <item x="28"/>
        <item x="5"/>
        <item x="7"/>
        <item x="17"/>
        <item x="30"/>
        <item x="35"/>
        <item x="14"/>
        <item x="24"/>
        <item x="21"/>
        <item x="22"/>
        <item x="19"/>
        <item x="38"/>
        <item x="26"/>
        <item x="6"/>
        <item t="default"/>
      </items>
    </pivotField>
    <pivotField axis="axisCol" showAll="0">
      <items count="6">
        <item x="3"/>
        <item x="4"/>
        <item x="0"/>
        <item x="1"/>
        <item x="2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h="1"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h="1" sd="0" x="11"/>
        <item h="1" sd="0" x="12"/>
        <item sd="0" x="13"/>
        <item t="default"/>
      </items>
    </pivotField>
    <pivotField dragToRow="0" dragToCol="0" dragToPage="0" showAll="0" defaultSubtotal="0"/>
  </pivotFields>
  <rowFields count="2">
    <field x="8"/>
    <field x="5"/>
  </rowFields>
  <rowItems count="1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6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uenta de Código del reactivo" fld="0" subtotal="count" baseField="8" baseItem="0"/>
  </dataFields>
  <formats count="2">
    <format dxfId="1">
      <pivotArea collapsedLevelsAreSubtotals="1" fieldPosition="0">
        <references count="1">
          <reference field="8" count="1">
            <x v="7"/>
          </reference>
        </references>
      </pivotArea>
    </format>
    <format dxfId="0">
      <pivotArea dataOnly="0" labelOnly="1" fieldPosition="0">
        <references count="1">
          <reference field="8" count="1">
            <x v="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C1D68E-6A1C-493A-BCE9-81B4443F5E31}" name="TablaDinámica4" cacheId="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3">
  <location ref="A3:E47" firstHeaderRow="1" firstDataRow="2" firstDataCol="1"/>
  <pivotFields count="10">
    <pivotField showAll="0"/>
    <pivotField axis="axisRow" showAll="0">
      <items count="81">
        <item x="26"/>
        <item x="0"/>
        <item x="56"/>
        <item x="1"/>
        <item x="27"/>
        <item x="57"/>
        <item x="2"/>
        <item x="28"/>
        <item x="32"/>
        <item x="58"/>
        <item x="3"/>
        <item x="29"/>
        <item x="30"/>
        <item x="33"/>
        <item x="59"/>
        <item x="4"/>
        <item x="60"/>
        <item x="31"/>
        <item x="34"/>
        <item x="5"/>
        <item x="35"/>
        <item x="61"/>
        <item x="6"/>
        <item x="36"/>
        <item x="62"/>
        <item x="7"/>
        <item x="37"/>
        <item x="63"/>
        <item x="8"/>
        <item x="64"/>
        <item x="38"/>
        <item x="9"/>
        <item x="65"/>
        <item x="39"/>
        <item x="10"/>
        <item x="40"/>
        <item x="66"/>
        <item x="11"/>
        <item x="67"/>
        <item x="41"/>
        <item x="12"/>
        <item x="68"/>
        <item x="42"/>
        <item x="13"/>
        <item x="69"/>
        <item x="43"/>
        <item x="14"/>
        <item x="70"/>
        <item x="44"/>
        <item x="15"/>
        <item x="71"/>
        <item x="45"/>
        <item x="16"/>
        <item x="72"/>
        <item x="46"/>
        <item x="17"/>
        <item x="47"/>
        <item x="73"/>
        <item x="18"/>
        <item x="74"/>
        <item x="48"/>
        <item x="19"/>
        <item x="75"/>
        <item x="49"/>
        <item x="20"/>
        <item x="76"/>
        <item x="50"/>
        <item x="21"/>
        <item x="77"/>
        <item x="51"/>
        <item x="22"/>
        <item x="78"/>
        <item x="52"/>
        <item x="23"/>
        <item x="79"/>
        <item x="53"/>
        <item x="24"/>
        <item x="54"/>
        <item x="25"/>
        <item x="55"/>
        <item t="default"/>
      </items>
    </pivotField>
    <pivotField showAll="0"/>
    <pivotField showAll="0"/>
    <pivotField showAll="0"/>
    <pivotField showAll="0">
      <items count="40">
        <item x="11"/>
        <item x="18"/>
        <item x="9"/>
        <item x="10"/>
        <item x="16"/>
        <item x="12"/>
        <item x="2"/>
        <item x="4"/>
        <item x="8"/>
        <item x="3"/>
        <item x="13"/>
        <item x="15"/>
        <item x="20"/>
        <item x="33"/>
        <item x="27"/>
        <item x="0"/>
        <item x="23"/>
        <item x="25"/>
        <item x="34"/>
        <item x="29"/>
        <item x="36"/>
        <item x="31"/>
        <item x="1"/>
        <item x="32"/>
        <item x="37"/>
        <item x="28"/>
        <item x="5"/>
        <item x="7"/>
        <item x="17"/>
        <item x="30"/>
        <item x="35"/>
        <item x="14"/>
        <item x="24"/>
        <item x="21"/>
        <item x="22"/>
        <item x="19"/>
        <item x="38"/>
        <item x="26"/>
        <item x="6"/>
        <item t="default"/>
      </items>
    </pivotField>
    <pivotField showAll="0"/>
    <pivotField showAll="0" defaultSubtotal="0"/>
    <pivotField axis="axisCol" showAll="0" defaultSubtotal="0">
      <items count="14">
        <item h="1" x="0"/>
        <item h="1" x="1"/>
        <item h="1" x="2"/>
        <item h="1" x="3"/>
        <item h="1" x="4"/>
        <item x="5"/>
        <item x="6"/>
        <item x="7"/>
        <item h="1" x="8"/>
        <item h="1" x="9"/>
        <item h="1" x="10"/>
        <item h="1" x="11"/>
        <item h="1" x="12"/>
        <item x="13"/>
      </items>
    </pivotField>
    <pivotField dataField="1" dragToRow="0" dragToCol="0" dragToPage="0" showAll="0" defaultSubtotal="0"/>
  </pivotFields>
  <rowFields count="1">
    <field x="1"/>
  </rowFields>
  <rowItems count="43">
    <i>
      <x v="1"/>
    </i>
    <i>
      <x v="2"/>
    </i>
    <i>
      <x v="5"/>
    </i>
    <i>
      <x v="6"/>
    </i>
    <i>
      <x v="8"/>
    </i>
    <i>
      <x v="9"/>
    </i>
    <i>
      <x v="10"/>
    </i>
    <i>
      <x v="12"/>
    </i>
    <i>
      <x v="14"/>
    </i>
    <i>
      <x v="15"/>
    </i>
    <i>
      <x v="16"/>
    </i>
    <i>
      <x v="19"/>
    </i>
    <i>
      <x v="21"/>
    </i>
    <i>
      <x v="23"/>
    </i>
    <i>
      <x v="25"/>
    </i>
    <i>
      <x v="26"/>
    </i>
    <i>
      <x v="28"/>
    </i>
    <i>
      <x v="29"/>
    </i>
    <i>
      <x v="30"/>
    </i>
    <i>
      <x v="31"/>
    </i>
    <i>
      <x v="36"/>
    </i>
    <i>
      <x v="37"/>
    </i>
    <i>
      <x v="38"/>
    </i>
    <i>
      <x v="42"/>
    </i>
    <i>
      <x v="43"/>
    </i>
    <i>
      <x v="46"/>
    </i>
    <i>
      <x v="47"/>
    </i>
    <i>
      <x v="48"/>
    </i>
    <i>
      <x v="50"/>
    </i>
    <i>
      <x v="53"/>
    </i>
    <i>
      <x v="54"/>
    </i>
    <i>
      <x v="55"/>
    </i>
    <i>
      <x v="58"/>
    </i>
    <i>
      <x v="64"/>
    </i>
    <i>
      <x v="65"/>
    </i>
    <i>
      <x v="66"/>
    </i>
    <i>
      <x v="67"/>
    </i>
    <i>
      <x v="72"/>
    </i>
    <i>
      <x v="73"/>
    </i>
    <i>
      <x v="75"/>
    </i>
    <i>
      <x v="78"/>
    </i>
    <i>
      <x v="79"/>
    </i>
    <i t="grand">
      <x/>
    </i>
  </rowItems>
  <colFields count="1">
    <field x="8"/>
  </colFields>
  <colItems count="4">
    <i>
      <x v="5"/>
    </i>
    <i>
      <x v="6"/>
    </i>
    <i>
      <x v="7"/>
    </i>
    <i t="grand">
      <x/>
    </i>
  </colItems>
  <dataFields count="1">
    <dataField name="Suma de Cantidad consumida" fld="9" baseField="0" baseItem="0"/>
  </dataFields>
  <chartFormats count="10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00A1D-B1D0-4B86-ADEB-27607BD99AF5}">
  <sheetPr codeName="Hoja1"/>
  <dimension ref="A1:P34"/>
  <sheetViews>
    <sheetView topLeftCell="A10" workbookViewId="0">
      <selection activeCell="B18" sqref="B18"/>
    </sheetView>
  </sheetViews>
  <sheetFormatPr baseColWidth="10" defaultRowHeight="15" x14ac:dyDescent="0.25"/>
  <cols>
    <col min="1" max="1" width="17.5703125" bestFit="1" customWidth="1"/>
    <col min="2" max="3" width="22.85546875" bestFit="1" customWidth="1"/>
    <col min="4" max="4" width="27.28515625" bestFit="1" customWidth="1"/>
    <col min="5" max="6" width="22.85546875" bestFit="1" customWidth="1"/>
    <col min="7" max="7" width="27.28515625" bestFit="1" customWidth="1"/>
    <col min="8" max="9" width="22.85546875" bestFit="1" customWidth="1"/>
    <col min="10" max="10" width="27.28515625" bestFit="1" customWidth="1"/>
    <col min="11" max="12" width="22.85546875" bestFit="1" customWidth="1"/>
    <col min="13" max="13" width="27.28515625" bestFit="1" customWidth="1"/>
    <col min="14" max="15" width="27.85546875" bestFit="1" customWidth="1"/>
    <col min="16" max="16" width="32.28515625" bestFit="1" customWidth="1"/>
    <col min="17" max="18" width="22.85546875" bestFit="1" customWidth="1"/>
    <col min="19" max="19" width="27.28515625" bestFit="1" customWidth="1"/>
    <col min="20" max="21" width="22.85546875" bestFit="1" customWidth="1"/>
    <col min="22" max="22" width="27.28515625" bestFit="1" customWidth="1"/>
    <col min="23" max="24" width="22.85546875" bestFit="1" customWidth="1"/>
    <col min="25" max="25" width="27.28515625" bestFit="1" customWidth="1"/>
    <col min="26" max="27" width="27.85546875" bestFit="1" customWidth="1"/>
    <col min="28" max="28" width="32.28515625" bestFit="1" customWidth="1"/>
    <col min="29" max="30" width="22.85546875" bestFit="1" customWidth="1"/>
    <col min="31" max="31" width="27.28515625" bestFit="1" customWidth="1"/>
    <col min="32" max="33" width="27.85546875" bestFit="1" customWidth="1"/>
    <col min="34" max="34" width="32.28515625" bestFit="1" customWidth="1"/>
    <col min="35" max="39" width="10.7109375" bestFit="1" customWidth="1"/>
    <col min="40" max="40" width="11" bestFit="1" customWidth="1"/>
    <col min="41" max="41" width="22.85546875" bestFit="1" customWidth="1"/>
    <col min="42" max="42" width="8.7109375" bestFit="1" customWidth="1"/>
    <col min="43" max="45" width="9.7109375" bestFit="1" customWidth="1"/>
    <col min="46" max="46" width="8.7109375" bestFit="1" customWidth="1"/>
    <col min="47" max="66" width="9.7109375" bestFit="1" customWidth="1"/>
    <col min="67" max="67" width="8.7109375" bestFit="1" customWidth="1"/>
    <col min="68" max="72" width="9.7109375" bestFit="1" customWidth="1"/>
    <col min="73" max="78" width="10.7109375" bestFit="1" customWidth="1"/>
    <col min="79" max="79" width="11" bestFit="1" customWidth="1"/>
    <col min="80" max="80" width="27.28515625" bestFit="1" customWidth="1"/>
    <col min="81" max="81" width="8.7109375" bestFit="1" customWidth="1"/>
    <col min="82" max="84" width="9.7109375" bestFit="1" customWidth="1"/>
    <col min="85" max="85" width="8.7109375" bestFit="1" customWidth="1"/>
    <col min="86" max="105" width="9.7109375" bestFit="1" customWidth="1"/>
    <col min="106" max="106" width="8.7109375" bestFit="1" customWidth="1"/>
    <col min="107" max="111" width="9.7109375" bestFit="1" customWidth="1"/>
    <col min="112" max="117" width="10.7109375" bestFit="1" customWidth="1"/>
    <col min="118" max="118" width="11" bestFit="1" customWidth="1"/>
    <col min="119" max="120" width="27.85546875" bestFit="1" customWidth="1"/>
    <col min="121" max="121" width="32.28515625" bestFit="1" customWidth="1"/>
    <col min="122" max="122" width="22.85546875" bestFit="1" customWidth="1"/>
    <col min="123" max="123" width="24.140625" bestFit="1" customWidth="1"/>
    <col min="124" max="124" width="22.85546875" bestFit="1" customWidth="1"/>
    <col min="125" max="125" width="24.140625" bestFit="1" customWidth="1"/>
    <col min="126" max="126" width="27.85546875" bestFit="1" customWidth="1"/>
    <col min="127" max="127" width="29.140625" bestFit="1" customWidth="1"/>
    <col min="128" max="128" width="5.85546875" bestFit="1" customWidth="1"/>
    <col min="129" max="129" width="8.85546875" bestFit="1" customWidth="1"/>
    <col min="130" max="130" width="5.85546875" bestFit="1" customWidth="1"/>
    <col min="131" max="131" width="8.85546875" bestFit="1" customWidth="1"/>
    <col min="132" max="132" width="5.85546875" bestFit="1" customWidth="1"/>
    <col min="133" max="133" width="8.85546875" bestFit="1" customWidth="1"/>
    <col min="134" max="134" width="5.85546875" bestFit="1" customWidth="1"/>
    <col min="135" max="135" width="8.85546875" bestFit="1" customWidth="1"/>
    <col min="136" max="136" width="5.85546875" bestFit="1" customWidth="1"/>
    <col min="137" max="137" width="4" bestFit="1" customWidth="1"/>
    <col min="138" max="138" width="8.85546875" bestFit="1" customWidth="1"/>
    <col min="139" max="139" width="5.85546875" bestFit="1" customWidth="1"/>
    <col min="140" max="140" width="4" bestFit="1" customWidth="1"/>
    <col min="141" max="141" width="8.85546875" bestFit="1" customWidth="1"/>
    <col min="142" max="142" width="5.85546875" bestFit="1" customWidth="1"/>
    <col min="143" max="143" width="8.85546875" bestFit="1" customWidth="1"/>
    <col min="144" max="144" width="12.5703125" bestFit="1" customWidth="1"/>
  </cols>
  <sheetData>
    <row r="1" spans="1:8" x14ac:dyDescent="0.25">
      <c r="A1" s="10" t="s">
        <v>185</v>
      </c>
      <c r="H1" s="14" t="s">
        <v>198</v>
      </c>
    </row>
    <row r="3" spans="1:8" x14ac:dyDescent="0.25">
      <c r="A3" s="4" t="s">
        <v>174</v>
      </c>
      <c r="B3" s="4" t="s">
        <v>184</v>
      </c>
    </row>
    <row r="4" spans="1:8" x14ac:dyDescent="0.25">
      <c r="A4" s="4" t="s">
        <v>171</v>
      </c>
      <c r="B4" t="s">
        <v>70</v>
      </c>
      <c r="C4" t="s">
        <v>71</v>
      </c>
      <c r="D4" t="s">
        <v>67</v>
      </c>
      <c r="E4" t="s">
        <v>68</v>
      </c>
      <c r="F4" t="s">
        <v>69</v>
      </c>
      <c r="G4" t="s">
        <v>172</v>
      </c>
    </row>
    <row r="5" spans="1:8" x14ac:dyDescent="0.25">
      <c r="A5" s="5" t="s">
        <v>173</v>
      </c>
      <c r="B5" s="6">
        <v>1</v>
      </c>
      <c r="C5" s="6"/>
      <c r="D5" s="6">
        <v>1</v>
      </c>
      <c r="E5" s="6">
        <v>2</v>
      </c>
      <c r="F5" s="6"/>
      <c r="G5" s="6">
        <v>4</v>
      </c>
    </row>
    <row r="6" spans="1:8" x14ac:dyDescent="0.25">
      <c r="A6" s="5" t="s">
        <v>175</v>
      </c>
      <c r="B6" s="6"/>
      <c r="C6" s="6">
        <v>1</v>
      </c>
      <c r="D6" s="6"/>
      <c r="E6" s="6"/>
      <c r="F6" s="6"/>
      <c r="G6" s="6">
        <v>1</v>
      </c>
    </row>
    <row r="7" spans="1:8" x14ac:dyDescent="0.25">
      <c r="A7" s="5" t="s">
        <v>176</v>
      </c>
      <c r="B7" s="6"/>
      <c r="C7" s="6"/>
      <c r="D7" s="6"/>
      <c r="E7" s="6"/>
      <c r="F7" s="6">
        <v>1</v>
      </c>
      <c r="G7" s="6">
        <v>1</v>
      </c>
    </row>
    <row r="8" spans="1:8" x14ac:dyDescent="0.25">
      <c r="A8" s="5" t="s">
        <v>177</v>
      </c>
      <c r="B8" s="6"/>
      <c r="C8" s="6">
        <v>1</v>
      </c>
      <c r="D8" s="6">
        <v>1</v>
      </c>
      <c r="E8" s="6">
        <v>2</v>
      </c>
      <c r="F8" s="6"/>
      <c r="G8" s="6">
        <v>4</v>
      </c>
    </row>
    <row r="9" spans="1:8" x14ac:dyDescent="0.25">
      <c r="A9" s="5" t="s">
        <v>178</v>
      </c>
      <c r="B9" s="6"/>
      <c r="C9" s="6"/>
      <c r="D9" s="6">
        <v>1</v>
      </c>
      <c r="E9" s="6">
        <v>1</v>
      </c>
      <c r="F9" s="6">
        <v>2</v>
      </c>
      <c r="G9" s="6">
        <v>4</v>
      </c>
    </row>
    <row r="10" spans="1:8" x14ac:dyDescent="0.25">
      <c r="A10" s="5" t="s">
        <v>179</v>
      </c>
      <c r="B10" s="6">
        <v>5</v>
      </c>
      <c r="C10" s="6"/>
      <c r="D10" s="6">
        <v>3</v>
      </c>
      <c r="E10" s="6">
        <v>3</v>
      </c>
      <c r="F10" s="6">
        <v>1</v>
      </c>
      <c r="G10" s="6">
        <v>12</v>
      </c>
    </row>
    <row r="11" spans="1:8" x14ac:dyDescent="0.25">
      <c r="A11" s="7" t="s">
        <v>180</v>
      </c>
      <c r="B11" s="8">
        <v>6</v>
      </c>
      <c r="C11" s="8"/>
      <c r="D11" s="8">
        <v>7</v>
      </c>
      <c r="E11" s="8">
        <v>13</v>
      </c>
      <c r="F11" s="8"/>
      <c r="G11" s="8">
        <v>26</v>
      </c>
    </row>
    <row r="12" spans="1:8" x14ac:dyDescent="0.25">
      <c r="A12" s="5" t="s">
        <v>181</v>
      </c>
      <c r="B12" s="6">
        <v>3</v>
      </c>
      <c r="C12" s="6"/>
      <c r="D12" s="6"/>
      <c r="E12" s="6">
        <v>2</v>
      </c>
      <c r="F12" s="6"/>
      <c r="G12" s="6">
        <v>5</v>
      </c>
    </row>
    <row r="13" spans="1:8" x14ac:dyDescent="0.25">
      <c r="A13" s="5" t="s">
        <v>182</v>
      </c>
      <c r="B13" s="6">
        <v>5</v>
      </c>
      <c r="C13" s="6">
        <v>1</v>
      </c>
      <c r="D13" s="6">
        <v>5</v>
      </c>
      <c r="E13" s="6"/>
      <c r="F13" s="6"/>
      <c r="G13" s="6">
        <v>11</v>
      </c>
    </row>
    <row r="14" spans="1:8" x14ac:dyDescent="0.25">
      <c r="A14" s="5" t="s">
        <v>183</v>
      </c>
      <c r="B14" s="6">
        <v>4</v>
      </c>
      <c r="C14" s="6"/>
      <c r="D14" s="6">
        <v>4</v>
      </c>
      <c r="E14" s="6">
        <v>4</v>
      </c>
      <c r="F14" s="6"/>
      <c r="G14" s="6">
        <v>12</v>
      </c>
    </row>
    <row r="15" spans="1:8" x14ac:dyDescent="0.25">
      <c r="A15" s="5" t="s">
        <v>172</v>
      </c>
      <c r="B15" s="6">
        <v>24</v>
      </c>
      <c r="C15" s="6">
        <v>3</v>
      </c>
      <c r="D15" s="6">
        <v>22</v>
      </c>
      <c r="E15" s="6">
        <v>27</v>
      </c>
      <c r="F15" s="6">
        <v>4</v>
      </c>
      <c r="G15" s="6">
        <v>80</v>
      </c>
    </row>
    <row r="17" spans="1:16" x14ac:dyDescent="0.25">
      <c r="A17" s="11" t="s">
        <v>190</v>
      </c>
    </row>
    <row r="18" spans="1:16" x14ac:dyDescent="0.25">
      <c r="B18" s="4" t="s">
        <v>184</v>
      </c>
    </row>
    <row r="19" spans="1:16" x14ac:dyDescent="0.25">
      <c r="B19" t="s">
        <v>173</v>
      </c>
      <c r="E19" t="s">
        <v>181</v>
      </c>
      <c r="H19" t="s">
        <v>182</v>
      </c>
      <c r="K19" t="s">
        <v>183</v>
      </c>
      <c r="N19" t="s">
        <v>186</v>
      </c>
      <c r="O19" t="s">
        <v>191</v>
      </c>
      <c r="P19" t="s">
        <v>192</v>
      </c>
    </row>
    <row r="20" spans="1:16" x14ac:dyDescent="0.25">
      <c r="B20" t="s">
        <v>187</v>
      </c>
      <c r="C20" t="s">
        <v>188</v>
      </c>
      <c r="D20" t="s">
        <v>189</v>
      </c>
      <c r="E20" t="s">
        <v>187</v>
      </c>
      <c r="F20" t="s">
        <v>188</v>
      </c>
      <c r="G20" t="s">
        <v>189</v>
      </c>
      <c r="H20" t="s">
        <v>187</v>
      </c>
      <c r="I20" t="s">
        <v>188</v>
      </c>
      <c r="J20" t="s">
        <v>189</v>
      </c>
      <c r="K20" t="s">
        <v>187</v>
      </c>
      <c r="L20" t="s">
        <v>188</v>
      </c>
      <c r="M20" t="s">
        <v>189</v>
      </c>
    </row>
    <row r="21" spans="1:16" x14ac:dyDescent="0.25">
      <c r="A21" s="4" t="s">
        <v>171</v>
      </c>
    </row>
    <row r="22" spans="1:16" x14ac:dyDescent="0.25">
      <c r="A22" s="5" t="s">
        <v>35</v>
      </c>
      <c r="B22" s="6"/>
      <c r="C22" s="6"/>
      <c r="D22" s="6">
        <v>0</v>
      </c>
      <c r="E22" s="6"/>
      <c r="F22" s="6"/>
      <c r="G22" s="6">
        <v>0</v>
      </c>
      <c r="H22" s="6">
        <v>185</v>
      </c>
      <c r="I22" s="6">
        <v>88</v>
      </c>
      <c r="J22" s="6">
        <v>97</v>
      </c>
      <c r="K22" s="6"/>
      <c r="L22" s="6"/>
      <c r="M22" s="6">
        <v>0</v>
      </c>
      <c r="N22" s="6">
        <v>185</v>
      </c>
      <c r="O22" s="6">
        <v>88</v>
      </c>
      <c r="P22" s="6">
        <v>97</v>
      </c>
    </row>
    <row r="23" spans="1:16" x14ac:dyDescent="0.25">
      <c r="A23" s="5" t="s">
        <v>126</v>
      </c>
      <c r="B23" s="6"/>
      <c r="C23" s="6"/>
      <c r="D23" s="6">
        <v>0</v>
      </c>
      <c r="E23" s="6"/>
      <c r="F23" s="6"/>
      <c r="G23" s="6">
        <v>0</v>
      </c>
      <c r="H23" s="6"/>
      <c r="I23" s="6"/>
      <c r="J23" s="6">
        <v>0</v>
      </c>
      <c r="K23" s="6">
        <v>183</v>
      </c>
      <c r="L23" s="6">
        <v>63</v>
      </c>
      <c r="M23" s="6">
        <v>120</v>
      </c>
      <c r="N23" s="6">
        <v>183</v>
      </c>
      <c r="O23" s="6">
        <v>63</v>
      </c>
      <c r="P23" s="6">
        <v>120</v>
      </c>
    </row>
    <row r="24" spans="1:16" x14ac:dyDescent="0.25">
      <c r="A24" s="5" t="s">
        <v>153</v>
      </c>
      <c r="B24" s="6"/>
      <c r="C24" s="6"/>
      <c r="D24" s="6">
        <v>0</v>
      </c>
      <c r="E24" s="6"/>
      <c r="F24" s="6"/>
      <c r="G24" s="6">
        <v>0</v>
      </c>
      <c r="H24" s="6">
        <v>63</v>
      </c>
      <c r="I24" s="6">
        <v>4</v>
      </c>
      <c r="J24" s="6">
        <v>59</v>
      </c>
      <c r="K24" s="6"/>
      <c r="L24" s="6"/>
      <c r="M24" s="6">
        <v>0</v>
      </c>
      <c r="N24" s="6">
        <v>63</v>
      </c>
      <c r="O24" s="6">
        <v>4</v>
      </c>
      <c r="P24" s="6">
        <v>59</v>
      </c>
    </row>
    <row r="25" spans="1:16" x14ac:dyDescent="0.25">
      <c r="A25" s="5" t="s">
        <v>130</v>
      </c>
      <c r="B25" s="6"/>
      <c r="C25" s="6"/>
      <c r="D25" s="6">
        <v>0</v>
      </c>
      <c r="E25" s="6"/>
      <c r="F25" s="6"/>
      <c r="G25" s="6">
        <v>0</v>
      </c>
      <c r="H25" s="6"/>
      <c r="I25" s="6"/>
      <c r="J25" s="6">
        <v>0</v>
      </c>
      <c r="K25" s="6">
        <v>141</v>
      </c>
      <c r="L25" s="6">
        <v>50</v>
      </c>
      <c r="M25" s="6">
        <v>91</v>
      </c>
      <c r="N25" s="6">
        <v>141</v>
      </c>
      <c r="O25" s="6">
        <v>50</v>
      </c>
      <c r="P25" s="6">
        <v>91</v>
      </c>
    </row>
    <row r="26" spans="1:16" x14ac:dyDescent="0.25">
      <c r="A26" s="5" t="s">
        <v>132</v>
      </c>
      <c r="B26" s="6"/>
      <c r="C26" s="6"/>
      <c r="D26" s="6">
        <v>0</v>
      </c>
      <c r="E26" s="6"/>
      <c r="F26" s="6"/>
      <c r="G26" s="6">
        <v>0</v>
      </c>
      <c r="H26" s="6"/>
      <c r="I26" s="6"/>
      <c r="J26" s="6">
        <v>0</v>
      </c>
      <c r="K26" s="6">
        <v>142</v>
      </c>
      <c r="L26" s="6">
        <v>83</v>
      </c>
      <c r="M26" s="6">
        <v>59</v>
      </c>
      <c r="N26" s="6">
        <v>142</v>
      </c>
      <c r="O26" s="6">
        <v>83</v>
      </c>
      <c r="P26" s="6">
        <v>59</v>
      </c>
    </row>
    <row r="27" spans="1:16" x14ac:dyDescent="0.25">
      <c r="A27" s="5" t="s">
        <v>19</v>
      </c>
      <c r="B27" s="6"/>
      <c r="C27" s="6"/>
      <c r="D27" s="6">
        <v>0</v>
      </c>
      <c r="E27" s="6"/>
      <c r="F27" s="6"/>
      <c r="G27" s="6">
        <v>0</v>
      </c>
      <c r="H27" s="6">
        <v>110</v>
      </c>
      <c r="I27" s="6">
        <v>41</v>
      </c>
      <c r="J27" s="6">
        <v>69</v>
      </c>
      <c r="K27" s="6"/>
      <c r="L27" s="6"/>
      <c r="M27" s="6">
        <v>0</v>
      </c>
      <c r="N27" s="6">
        <v>110</v>
      </c>
      <c r="O27" s="6">
        <v>41</v>
      </c>
      <c r="P27" s="6">
        <v>69</v>
      </c>
    </row>
    <row r="28" spans="1:16" x14ac:dyDescent="0.25">
      <c r="A28" s="5" t="s">
        <v>160</v>
      </c>
      <c r="B28" s="6"/>
      <c r="C28" s="6"/>
      <c r="D28" s="6">
        <v>0</v>
      </c>
      <c r="E28" s="6"/>
      <c r="F28" s="6"/>
      <c r="G28" s="6">
        <v>0</v>
      </c>
      <c r="H28" s="6">
        <v>123</v>
      </c>
      <c r="I28" s="6">
        <v>38</v>
      </c>
      <c r="J28" s="6">
        <v>85</v>
      </c>
      <c r="K28" s="6"/>
      <c r="L28" s="6"/>
      <c r="M28" s="6">
        <v>0</v>
      </c>
      <c r="N28" s="6">
        <v>123</v>
      </c>
      <c r="O28" s="6">
        <v>38</v>
      </c>
      <c r="P28" s="6">
        <v>85</v>
      </c>
    </row>
    <row r="29" spans="1:16" x14ac:dyDescent="0.25">
      <c r="A29" s="5" t="s">
        <v>165</v>
      </c>
      <c r="B29" s="6"/>
      <c r="C29" s="6"/>
      <c r="D29" s="6">
        <v>0</v>
      </c>
      <c r="E29" s="6"/>
      <c r="F29" s="6"/>
      <c r="G29" s="6">
        <v>0</v>
      </c>
      <c r="H29" s="6"/>
      <c r="I29" s="6"/>
      <c r="J29" s="6">
        <v>0</v>
      </c>
      <c r="K29" s="6">
        <v>154</v>
      </c>
      <c r="L29" s="6">
        <v>67</v>
      </c>
      <c r="M29" s="6">
        <v>87</v>
      </c>
      <c r="N29" s="6">
        <v>154</v>
      </c>
      <c r="O29" s="6">
        <v>67</v>
      </c>
      <c r="P29" s="6">
        <v>87</v>
      </c>
    </row>
    <row r="30" spans="1:16" x14ac:dyDescent="0.25">
      <c r="A30" s="5" t="s">
        <v>139</v>
      </c>
      <c r="B30" s="6"/>
      <c r="C30" s="6"/>
      <c r="D30" s="6">
        <v>0</v>
      </c>
      <c r="E30" s="6"/>
      <c r="F30" s="6"/>
      <c r="G30" s="6">
        <v>0</v>
      </c>
      <c r="H30" s="6">
        <v>167</v>
      </c>
      <c r="I30" s="6">
        <v>92</v>
      </c>
      <c r="J30" s="6">
        <v>75</v>
      </c>
      <c r="K30" s="6"/>
      <c r="L30" s="6"/>
      <c r="M30" s="6">
        <v>0</v>
      </c>
      <c r="N30" s="6">
        <v>167</v>
      </c>
      <c r="O30" s="6">
        <v>92</v>
      </c>
      <c r="P30" s="6">
        <v>75</v>
      </c>
    </row>
    <row r="31" spans="1:16" x14ac:dyDescent="0.25">
      <c r="A31" s="5" t="s">
        <v>166</v>
      </c>
      <c r="B31" s="6"/>
      <c r="C31" s="6"/>
      <c r="D31" s="6">
        <v>0</v>
      </c>
      <c r="E31" s="6"/>
      <c r="F31" s="6"/>
      <c r="G31" s="6">
        <v>0</v>
      </c>
      <c r="H31" s="6"/>
      <c r="I31" s="6"/>
      <c r="J31" s="6">
        <v>0</v>
      </c>
      <c r="K31" s="6">
        <v>161</v>
      </c>
      <c r="L31" s="6">
        <v>72</v>
      </c>
      <c r="M31" s="6">
        <v>89</v>
      </c>
      <c r="N31" s="6">
        <v>161</v>
      </c>
      <c r="O31" s="6">
        <v>72</v>
      </c>
      <c r="P31" s="6">
        <v>89</v>
      </c>
    </row>
    <row r="32" spans="1:16" x14ac:dyDescent="0.25">
      <c r="A32" s="5" t="s">
        <v>140</v>
      </c>
      <c r="B32" s="6"/>
      <c r="C32" s="6"/>
      <c r="D32" s="6">
        <v>0</v>
      </c>
      <c r="E32" s="6"/>
      <c r="F32" s="6"/>
      <c r="G32" s="6">
        <v>0</v>
      </c>
      <c r="H32" s="6"/>
      <c r="I32" s="6"/>
      <c r="J32" s="6">
        <v>0</v>
      </c>
      <c r="K32" s="6">
        <v>140</v>
      </c>
      <c r="L32" s="6">
        <v>81</v>
      </c>
      <c r="M32" s="6">
        <v>59</v>
      </c>
      <c r="N32" s="6">
        <v>140</v>
      </c>
      <c r="O32" s="6">
        <v>81</v>
      </c>
      <c r="P32" s="6">
        <v>59</v>
      </c>
    </row>
    <row r="33" spans="1:16" x14ac:dyDescent="0.25">
      <c r="A33" s="5" t="s">
        <v>29</v>
      </c>
      <c r="B33" s="6"/>
      <c r="C33" s="6"/>
      <c r="D33" s="6">
        <v>0</v>
      </c>
      <c r="E33" s="6"/>
      <c r="F33" s="6"/>
      <c r="G33" s="6">
        <v>0</v>
      </c>
      <c r="H33" s="6">
        <v>155</v>
      </c>
      <c r="I33" s="6">
        <v>31</v>
      </c>
      <c r="J33" s="6">
        <v>124</v>
      </c>
      <c r="K33" s="6"/>
      <c r="L33" s="6"/>
      <c r="M33" s="6">
        <v>0</v>
      </c>
      <c r="N33" s="6">
        <v>155</v>
      </c>
      <c r="O33" s="6">
        <v>31</v>
      </c>
      <c r="P33" s="6">
        <v>124</v>
      </c>
    </row>
    <row r="34" spans="1:16" x14ac:dyDescent="0.25">
      <c r="A34" s="5" t="s">
        <v>172</v>
      </c>
      <c r="B34" s="6"/>
      <c r="C34" s="6"/>
      <c r="D34" s="6">
        <v>0</v>
      </c>
      <c r="E34" s="6"/>
      <c r="F34" s="6"/>
      <c r="G34" s="6">
        <v>0</v>
      </c>
      <c r="H34" s="6">
        <v>803</v>
      </c>
      <c r="I34" s="6">
        <v>294</v>
      </c>
      <c r="J34" s="6">
        <v>509</v>
      </c>
      <c r="K34" s="6">
        <v>921</v>
      </c>
      <c r="L34" s="6">
        <v>416</v>
      </c>
      <c r="M34" s="6">
        <v>505</v>
      </c>
      <c r="N34" s="6">
        <v>1724</v>
      </c>
      <c r="O34" s="6">
        <v>710</v>
      </c>
      <c r="P34" s="6">
        <v>1014</v>
      </c>
    </row>
  </sheetData>
  <hyperlinks>
    <hyperlink ref="H1" location="'Hoja1-Datos'!A1" display="Ir a Hoja1" xr:uid="{61C7FD60-9EAE-44B8-8EAA-981E0474155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07474-1915-4C42-8ABC-EE44D961FBD1}">
  <sheetPr codeName="Hoja2"/>
  <dimension ref="A3:E47"/>
  <sheetViews>
    <sheetView workbookViewId="0">
      <selection activeCell="A5" sqref="A5:L84"/>
    </sheetView>
  </sheetViews>
  <sheetFormatPr baseColWidth="10" defaultRowHeight="15" x14ac:dyDescent="0.25"/>
  <cols>
    <col min="1" max="1" width="27.28515625" bestFit="1" customWidth="1"/>
    <col min="2" max="2" width="22.42578125" bestFit="1" customWidth="1"/>
    <col min="3" max="3" width="4" bestFit="1" customWidth="1"/>
    <col min="4" max="4" width="5" bestFit="1" customWidth="1"/>
    <col min="5" max="6" width="12.5703125" bestFit="1" customWidth="1"/>
    <col min="7" max="7" width="4" bestFit="1" customWidth="1"/>
    <col min="8" max="8" width="5" bestFit="1" customWidth="1"/>
    <col min="9" max="10" width="4.140625" bestFit="1" customWidth="1"/>
    <col min="11" max="11" width="4" bestFit="1" customWidth="1"/>
    <col min="12" max="12" width="12.5703125" bestFit="1" customWidth="1"/>
  </cols>
  <sheetData>
    <row r="3" spans="1:5" x14ac:dyDescent="0.25">
      <c r="A3" s="4" t="s">
        <v>189</v>
      </c>
      <c r="B3" s="4" t="s">
        <v>184</v>
      </c>
    </row>
    <row r="4" spans="1:5" x14ac:dyDescent="0.25">
      <c r="A4" s="4" t="s">
        <v>171</v>
      </c>
      <c r="B4" t="s">
        <v>178</v>
      </c>
      <c r="C4" t="s">
        <v>179</v>
      </c>
      <c r="D4" t="s">
        <v>180</v>
      </c>
      <c r="E4" t="s">
        <v>172</v>
      </c>
    </row>
    <row r="5" spans="1:5" x14ac:dyDescent="0.25">
      <c r="A5" s="5" t="s">
        <v>7</v>
      </c>
      <c r="B5" s="6">
        <v>0</v>
      </c>
      <c r="C5" s="6">
        <v>0</v>
      </c>
      <c r="D5" s="6">
        <v>23</v>
      </c>
      <c r="E5" s="6">
        <v>23</v>
      </c>
    </row>
    <row r="6" spans="1:5" x14ac:dyDescent="0.25">
      <c r="A6" s="5" t="s">
        <v>147</v>
      </c>
      <c r="B6" s="6">
        <v>0</v>
      </c>
      <c r="C6" s="6">
        <v>0</v>
      </c>
      <c r="D6" s="6">
        <v>36</v>
      </c>
      <c r="E6" s="6">
        <v>36</v>
      </c>
    </row>
    <row r="7" spans="1:5" x14ac:dyDescent="0.25">
      <c r="A7" s="5" t="s">
        <v>148</v>
      </c>
      <c r="B7" s="6">
        <v>0</v>
      </c>
      <c r="C7" s="6">
        <v>0</v>
      </c>
      <c r="D7" s="6">
        <v>77</v>
      </c>
      <c r="E7" s="6">
        <v>77</v>
      </c>
    </row>
    <row r="8" spans="1:5" x14ac:dyDescent="0.25">
      <c r="A8" s="5" t="s">
        <v>9</v>
      </c>
      <c r="B8" s="6">
        <v>22</v>
      </c>
      <c r="C8" s="6">
        <v>0</v>
      </c>
      <c r="D8" s="6">
        <v>0</v>
      </c>
      <c r="E8" s="6">
        <v>22</v>
      </c>
    </row>
    <row r="9" spans="1:5" x14ac:dyDescent="0.25">
      <c r="A9" s="5" t="s">
        <v>123</v>
      </c>
      <c r="B9" s="6">
        <v>0</v>
      </c>
      <c r="C9" s="6">
        <v>0</v>
      </c>
      <c r="D9" s="6">
        <v>52</v>
      </c>
      <c r="E9" s="6">
        <v>52</v>
      </c>
    </row>
    <row r="10" spans="1:5" x14ac:dyDescent="0.25">
      <c r="A10" s="5" t="s">
        <v>149</v>
      </c>
      <c r="B10" s="6">
        <v>0</v>
      </c>
      <c r="C10" s="6">
        <v>0</v>
      </c>
      <c r="D10" s="6">
        <v>50</v>
      </c>
      <c r="E10" s="6">
        <v>50</v>
      </c>
    </row>
    <row r="11" spans="1:5" x14ac:dyDescent="0.25">
      <c r="A11" s="5" t="s">
        <v>10</v>
      </c>
      <c r="B11" s="6">
        <v>0</v>
      </c>
      <c r="C11" s="6">
        <v>52</v>
      </c>
      <c r="D11" s="6">
        <v>0</v>
      </c>
      <c r="E11" s="6">
        <v>52</v>
      </c>
    </row>
    <row r="12" spans="1:5" x14ac:dyDescent="0.25">
      <c r="A12" s="5" t="s">
        <v>121</v>
      </c>
      <c r="B12" s="6">
        <v>0</v>
      </c>
      <c r="C12" s="6">
        <v>0</v>
      </c>
      <c r="D12" s="6">
        <v>19</v>
      </c>
      <c r="E12" s="6">
        <v>19</v>
      </c>
    </row>
    <row r="13" spans="1:5" x14ac:dyDescent="0.25">
      <c r="A13" s="5" t="s">
        <v>150</v>
      </c>
      <c r="B13" s="6">
        <v>0</v>
      </c>
      <c r="C13" s="6">
        <v>0</v>
      </c>
      <c r="D13" s="6">
        <v>150</v>
      </c>
      <c r="E13" s="6">
        <v>150</v>
      </c>
    </row>
    <row r="14" spans="1:5" x14ac:dyDescent="0.25">
      <c r="A14" s="5" t="s">
        <v>11</v>
      </c>
      <c r="B14" s="6">
        <v>55</v>
      </c>
      <c r="C14" s="6">
        <v>0</v>
      </c>
      <c r="D14" s="6">
        <v>0</v>
      </c>
      <c r="E14" s="6">
        <v>55</v>
      </c>
    </row>
    <row r="15" spans="1:5" x14ac:dyDescent="0.25">
      <c r="A15" s="5" t="s">
        <v>151</v>
      </c>
      <c r="B15" s="6">
        <v>0</v>
      </c>
      <c r="C15" s="6">
        <v>0</v>
      </c>
      <c r="D15" s="6">
        <v>15</v>
      </c>
      <c r="E15" s="6">
        <v>15</v>
      </c>
    </row>
    <row r="16" spans="1:5" x14ac:dyDescent="0.25">
      <c r="A16" s="5" t="s">
        <v>12</v>
      </c>
      <c r="B16" s="6">
        <v>0</v>
      </c>
      <c r="C16" s="6">
        <v>46</v>
      </c>
      <c r="D16" s="6">
        <v>0</v>
      </c>
      <c r="E16" s="6">
        <v>46</v>
      </c>
    </row>
    <row r="17" spans="1:5" x14ac:dyDescent="0.25">
      <c r="A17" s="5" t="s">
        <v>152</v>
      </c>
      <c r="B17" s="6">
        <v>0</v>
      </c>
      <c r="C17" s="6">
        <v>0</v>
      </c>
      <c r="D17" s="6">
        <v>88</v>
      </c>
      <c r="E17" s="6">
        <v>88</v>
      </c>
    </row>
    <row r="18" spans="1:5" x14ac:dyDescent="0.25">
      <c r="A18" s="5" t="s">
        <v>127</v>
      </c>
      <c r="B18" s="6">
        <v>0</v>
      </c>
      <c r="C18" s="6">
        <v>0</v>
      </c>
      <c r="D18" s="6">
        <v>60</v>
      </c>
      <c r="E18" s="6">
        <v>60</v>
      </c>
    </row>
    <row r="19" spans="1:5" x14ac:dyDescent="0.25">
      <c r="A19" s="5" t="s">
        <v>14</v>
      </c>
      <c r="B19" s="6">
        <v>0</v>
      </c>
      <c r="C19" s="6">
        <v>78</v>
      </c>
      <c r="D19" s="6">
        <v>0</v>
      </c>
      <c r="E19" s="6">
        <v>78</v>
      </c>
    </row>
    <row r="20" spans="1:5" x14ac:dyDescent="0.25">
      <c r="A20" s="5" t="s">
        <v>128</v>
      </c>
      <c r="B20" s="6">
        <v>0</v>
      </c>
      <c r="C20" s="6">
        <v>0</v>
      </c>
      <c r="D20" s="6">
        <v>-73</v>
      </c>
      <c r="E20" s="6">
        <v>-73</v>
      </c>
    </row>
    <row r="21" spans="1:5" x14ac:dyDescent="0.25">
      <c r="A21" s="5" t="s">
        <v>15</v>
      </c>
      <c r="B21" s="6">
        <v>0</v>
      </c>
      <c r="C21" s="6">
        <v>72</v>
      </c>
      <c r="D21" s="6">
        <v>0</v>
      </c>
      <c r="E21" s="6">
        <v>72</v>
      </c>
    </row>
    <row r="22" spans="1:5" x14ac:dyDescent="0.25">
      <c r="A22" s="5" t="s">
        <v>155</v>
      </c>
      <c r="B22" s="6">
        <v>0</v>
      </c>
      <c r="C22" s="6">
        <v>0</v>
      </c>
      <c r="D22" s="6">
        <v>61</v>
      </c>
      <c r="E22" s="6">
        <v>61</v>
      </c>
    </row>
    <row r="23" spans="1:5" x14ac:dyDescent="0.25">
      <c r="A23" s="5" t="s">
        <v>129</v>
      </c>
      <c r="B23" s="6">
        <v>0</v>
      </c>
      <c r="C23" s="6">
        <v>0</v>
      </c>
      <c r="D23" s="6">
        <v>135</v>
      </c>
      <c r="E23" s="6">
        <v>135</v>
      </c>
    </row>
    <row r="24" spans="1:5" x14ac:dyDescent="0.25">
      <c r="A24" s="5" t="s">
        <v>16</v>
      </c>
      <c r="B24" s="6">
        <v>0</v>
      </c>
      <c r="C24" s="6">
        <v>10</v>
      </c>
      <c r="D24" s="6">
        <v>0</v>
      </c>
      <c r="E24" s="6">
        <v>10</v>
      </c>
    </row>
    <row r="25" spans="1:5" x14ac:dyDescent="0.25">
      <c r="A25" s="5" t="s">
        <v>157</v>
      </c>
      <c r="B25" s="6">
        <v>0</v>
      </c>
      <c r="C25" s="6">
        <v>0</v>
      </c>
      <c r="D25" s="6">
        <v>78</v>
      </c>
      <c r="E25" s="6">
        <v>78</v>
      </c>
    </row>
    <row r="26" spans="1:5" x14ac:dyDescent="0.25">
      <c r="A26" s="5" t="s">
        <v>18</v>
      </c>
      <c r="B26" s="6">
        <v>0</v>
      </c>
      <c r="C26" s="6">
        <v>5</v>
      </c>
      <c r="D26" s="6">
        <v>0</v>
      </c>
      <c r="E26" s="6">
        <v>5</v>
      </c>
    </row>
    <row r="27" spans="1:5" x14ac:dyDescent="0.25">
      <c r="A27" s="5" t="s">
        <v>158</v>
      </c>
      <c r="B27" s="6">
        <v>0</v>
      </c>
      <c r="C27" s="6">
        <v>0</v>
      </c>
      <c r="D27" s="6">
        <v>6</v>
      </c>
      <c r="E27" s="6">
        <v>6</v>
      </c>
    </row>
    <row r="28" spans="1:5" x14ac:dyDescent="0.25">
      <c r="A28" s="5" t="s">
        <v>133</v>
      </c>
      <c r="B28" s="6">
        <v>0</v>
      </c>
      <c r="C28" s="6">
        <v>0</v>
      </c>
      <c r="D28" s="6">
        <v>62</v>
      </c>
      <c r="E28" s="6">
        <v>62</v>
      </c>
    </row>
    <row r="29" spans="1:5" x14ac:dyDescent="0.25">
      <c r="A29" s="5" t="s">
        <v>20</v>
      </c>
      <c r="B29" s="6">
        <v>0</v>
      </c>
      <c r="C29" s="6">
        <v>81</v>
      </c>
      <c r="D29" s="6">
        <v>0</v>
      </c>
      <c r="E29" s="6">
        <v>81</v>
      </c>
    </row>
    <row r="30" spans="1:5" x14ac:dyDescent="0.25">
      <c r="A30" s="5" t="s">
        <v>21</v>
      </c>
      <c r="B30" s="6">
        <v>81</v>
      </c>
      <c r="C30" s="6">
        <v>0</v>
      </c>
      <c r="D30" s="6">
        <v>0</v>
      </c>
      <c r="E30" s="6">
        <v>81</v>
      </c>
    </row>
    <row r="31" spans="1:5" x14ac:dyDescent="0.25">
      <c r="A31" s="5" t="s">
        <v>161</v>
      </c>
      <c r="B31" s="6">
        <v>0</v>
      </c>
      <c r="C31" s="6">
        <v>0</v>
      </c>
      <c r="D31" s="6">
        <v>47</v>
      </c>
      <c r="E31" s="6">
        <v>47</v>
      </c>
    </row>
    <row r="32" spans="1:5" x14ac:dyDescent="0.25">
      <c r="A32" s="5" t="s">
        <v>135</v>
      </c>
      <c r="B32" s="6">
        <v>0</v>
      </c>
      <c r="C32" s="6">
        <v>0</v>
      </c>
      <c r="D32" s="6">
        <v>143</v>
      </c>
      <c r="E32" s="6">
        <v>143</v>
      </c>
    </row>
    <row r="33" spans="1:5" x14ac:dyDescent="0.25">
      <c r="A33" s="5" t="s">
        <v>162</v>
      </c>
      <c r="B33" s="6">
        <v>0</v>
      </c>
      <c r="C33" s="6">
        <v>0</v>
      </c>
      <c r="D33" s="6">
        <v>75</v>
      </c>
      <c r="E33" s="6">
        <v>75</v>
      </c>
    </row>
    <row r="34" spans="1:5" x14ac:dyDescent="0.25">
      <c r="A34" s="5" t="s">
        <v>163</v>
      </c>
      <c r="B34" s="6">
        <v>0</v>
      </c>
      <c r="C34" s="6">
        <v>0</v>
      </c>
      <c r="D34" s="6">
        <v>125</v>
      </c>
      <c r="E34" s="6">
        <v>125</v>
      </c>
    </row>
    <row r="35" spans="1:5" x14ac:dyDescent="0.25">
      <c r="A35" s="5" t="s">
        <v>137</v>
      </c>
      <c r="B35" s="6">
        <v>0</v>
      </c>
      <c r="C35" s="6">
        <v>0</v>
      </c>
      <c r="D35" s="6">
        <v>98</v>
      </c>
      <c r="E35" s="6">
        <v>98</v>
      </c>
    </row>
    <row r="36" spans="1:5" x14ac:dyDescent="0.25">
      <c r="A36" s="5" t="s">
        <v>24</v>
      </c>
      <c r="B36" s="6">
        <v>0</v>
      </c>
      <c r="C36" s="6">
        <v>34</v>
      </c>
      <c r="D36" s="6">
        <v>0</v>
      </c>
      <c r="E36" s="6">
        <v>34</v>
      </c>
    </row>
    <row r="37" spans="1:5" x14ac:dyDescent="0.25">
      <c r="A37" s="5" t="s">
        <v>25</v>
      </c>
      <c r="B37" s="6">
        <v>0</v>
      </c>
      <c r="C37" s="6">
        <v>39</v>
      </c>
      <c r="D37" s="6">
        <v>0</v>
      </c>
      <c r="E37" s="6">
        <v>39</v>
      </c>
    </row>
    <row r="38" spans="1:5" x14ac:dyDescent="0.25">
      <c r="A38" s="5" t="s">
        <v>27</v>
      </c>
      <c r="B38" s="6">
        <v>57</v>
      </c>
      <c r="C38" s="6">
        <v>0</v>
      </c>
      <c r="D38" s="6">
        <v>0</v>
      </c>
      <c r="E38" s="6">
        <v>57</v>
      </c>
    </row>
    <row r="39" spans="1:5" x14ac:dyDescent="0.25">
      <c r="A39" s="5" t="s">
        <v>167</v>
      </c>
      <c r="B39" s="6">
        <v>0</v>
      </c>
      <c r="C39" s="6">
        <v>0</v>
      </c>
      <c r="D39" s="6">
        <v>49</v>
      </c>
      <c r="E39" s="6">
        <v>49</v>
      </c>
    </row>
    <row r="40" spans="1:5" x14ac:dyDescent="0.25">
      <c r="A40" s="5" t="s">
        <v>141</v>
      </c>
      <c r="B40" s="6">
        <v>0</v>
      </c>
      <c r="C40" s="6">
        <v>0</v>
      </c>
      <c r="D40" s="6">
        <v>85</v>
      </c>
      <c r="E40" s="6">
        <v>85</v>
      </c>
    </row>
    <row r="41" spans="1:5" x14ac:dyDescent="0.25">
      <c r="A41" s="5" t="s">
        <v>28</v>
      </c>
      <c r="B41" s="6">
        <v>0</v>
      </c>
      <c r="C41" s="6">
        <v>9</v>
      </c>
      <c r="D41" s="6">
        <v>0</v>
      </c>
      <c r="E41" s="6">
        <v>9</v>
      </c>
    </row>
    <row r="42" spans="1:5" x14ac:dyDescent="0.25">
      <c r="A42" s="5" t="s">
        <v>143</v>
      </c>
      <c r="B42" s="6">
        <v>0</v>
      </c>
      <c r="C42" s="6">
        <v>0</v>
      </c>
      <c r="D42" s="6">
        <v>2</v>
      </c>
      <c r="E42" s="6">
        <v>2</v>
      </c>
    </row>
    <row r="43" spans="1:5" x14ac:dyDescent="0.25">
      <c r="A43" s="5" t="s">
        <v>30</v>
      </c>
      <c r="B43" s="6">
        <v>0</v>
      </c>
      <c r="C43" s="6">
        <v>25</v>
      </c>
      <c r="D43" s="6">
        <v>0</v>
      </c>
      <c r="E43" s="6">
        <v>25</v>
      </c>
    </row>
    <row r="44" spans="1:5" x14ac:dyDescent="0.25">
      <c r="A44" s="5" t="s">
        <v>144</v>
      </c>
      <c r="B44" s="6">
        <v>0</v>
      </c>
      <c r="C44" s="6">
        <v>0</v>
      </c>
      <c r="D44" s="6">
        <v>33</v>
      </c>
      <c r="E44" s="6">
        <v>33</v>
      </c>
    </row>
    <row r="45" spans="1:5" x14ac:dyDescent="0.25">
      <c r="A45" s="5" t="s">
        <v>32</v>
      </c>
      <c r="B45" s="6">
        <v>0</v>
      </c>
      <c r="C45" s="6">
        <v>107</v>
      </c>
      <c r="D45" s="6">
        <v>0</v>
      </c>
      <c r="E45" s="6">
        <v>107</v>
      </c>
    </row>
    <row r="46" spans="1:5" x14ac:dyDescent="0.25">
      <c r="A46" s="5" t="s">
        <v>146</v>
      </c>
      <c r="B46" s="6">
        <v>0</v>
      </c>
      <c r="C46" s="6">
        <v>0</v>
      </c>
      <c r="D46" s="6">
        <v>63</v>
      </c>
      <c r="E46" s="6">
        <v>63</v>
      </c>
    </row>
    <row r="47" spans="1:5" x14ac:dyDescent="0.25">
      <c r="A47" s="5" t="s">
        <v>172</v>
      </c>
      <c r="B47" s="6">
        <v>215</v>
      </c>
      <c r="C47" s="6">
        <v>558</v>
      </c>
      <c r="D47" s="6">
        <v>1559</v>
      </c>
      <c r="E47" s="6">
        <v>2332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J81"/>
  <sheetViews>
    <sheetView workbookViewId="0">
      <selection activeCell="G1" sqref="G1:G81"/>
    </sheetView>
  </sheetViews>
  <sheetFormatPr baseColWidth="10" defaultColWidth="9.140625" defaultRowHeight="15" x14ac:dyDescent="0.25"/>
  <cols>
    <col min="1" max="1" width="18.140625" bestFit="1" customWidth="1"/>
    <col min="2" max="2" width="19.28515625" bestFit="1" customWidth="1"/>
    <col min="3" max="4" width="19.140625" bestFit="1" customWidth="1"/>
    <col min="5" max="5" width="20.85546875" bestFit="1" customWidth="1"/>
    <col min="6" max="6" width="19" bestFit="1" customWidth="1"/>
    <col min="7" max="7" width="16.85546875" bestFit="1" customWidth="1"/>
    <col min="9" max="9" width="57.7109375" bestFit="1" customWidth="1"/>
    <col min="10" max="10" width="62.85546875" bestFit="1" customWidth="1"/>
    <col min="11" max="11" width="9.42578125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s="12" t="s">
        <v>193</v>
      </c>
      <c r="J1" s="12" t="s">
        <v>194</v>
      </c>
    </row>
    <row r="2" spans="1:10" x14ac:dyDescent="0.25">
      <c r="A2" s="2">
        <v>111</v>
      </c>
      <c r="B2" s="2" t="s">
        <v>7</v>
      </c>
      <c r="C2" s="2">
        <v>100</v>
      </c>
      <c r="D2" s="2">
        <v>77</v>
      </c>
      <c r="E2" s="2" t="s">
        <v>37</v>
      </c>
      <c r="F2" s="3">
        <v>45124</v>
      </c>
      <c r="G2" s="2" t="s">
        <v>67</v>
      </c>
      <c r="I2">
        <f>SUM(D2:D81)</f>
        <v>5487</v>
      </c>
      <c r="J2">
        <f>COUNTIF(D2:D81, "&lt;20")</f>
        <v>8</v>
      </c>
    </row>
    <row r="3" spans="1:10" x14ac:dyDescent="0.25">
      <c r="A3" s="2">
        <v>112</v>
      </c>
      <c r="B3" s="2" t="s">
        <v>8</v>
      </c>
      <c r="C3" s="2">
        <v>50</v>
      </c>
      <c r="D3" s="2">
        <v>15</v>
      </c>
      <c r="E3" s="2" t="s">
        <v>38</v>
      </c>
      <c r="F3" s="3">
        <v>45153</v>
      </c>
      <c r="G3" s="2" t="s">
        <v>68</v>
      </c>
    </row>
    <row r="4" spans="1:10" x14ac:dyDescent="0.25">
      <c r="A4" s="2">
        <v>113</v>
      </c>
      <c r="B4" s="2" t="s">
        <v>9</v>
      </c>
      <c r="C4" s="2">
        <v>75</v>
      </c>
      <c r="D4" s="2">
        <v>53</v>
      </c>
      <c r="E4" s="2" t="s">
        <v>39</v>
      </c>
      <c r="F4" s="3">
        <v>45060</v>
      </c>
      <c r="G4" s="2" t="s">
        <v>69</v>
      </c>
      <c r="I4" s="13" t="s">
        <v>196</v>
      </c>
    </row>
    <row r="5" spans="1:10" x14ac:dyDescent="0.25">
      <c r="A5" s="2">
        <v>114</v>
      </c>
      <c r="B5" s="2" t="s">
        <v>10</v>
      </c>
      <c r="C5" s="2">
        <v>60</v>
      </c>
      <c r="D5" s="2">
        <v>8</v>
      </c>
      <c r="E5" s="2" t="s">
        <v>40</v>
      </c>
      <c r="F5" s="3">
        <v>45092</v>
      </c>
      <c r="G5" s="2" t="s">
        <v>70</v>
      </c>
      <c r="I5" s="13" t="s">
        <v>195</v>
      </c>
      <c r="J5" s="9">
        <v>45</v>
      </c>
    </row>
    <row r="6" spans="1:10" x14ac:dyDescent="0.25">
      <c r="A6" s="2">
        <v>115</v>
      </c>
      <c r="B6" s="2" t="s">
        <v>11</v>
      </c>
      <c r="C6" s="2">
        <v>90</v>
      </c>
      <c r="D6" s="2">
        <v>35</v>
      </c>
      <c r="E6" s="2" t="s">
        <v>41</v>
      </c>
      <c r="F6" s="3">
        <v>45069</v>
      </c>
      <c r="G6" s="2" t="s">
        <v>68</v>
      </c>
    </row>
    <row r="7" spans="1:10" x14ac:dyDescent="0.25">
      <c r="A7" s="2">
        <v>116</v>
      </c>
      <c r="B7" s="2" t="s">
        <v>12</v>
      </c>
      <c r="C7" s="2">
        <v>80</v>
      </c>
      <c r="D7" s="2">
        <v>34</v>
      </c>
      <c r="E7" s="2" t="s">
        <v>42</v>
      </c>
      <c r="F7" s="3">
        <v>45092</v>
      </c>
      <c r="G7" s="2" t="s">
        <v>70</v>
      </c>
    </row>
    <row r="8" spans="1:10" x14ac:dyDescent="0.25">
      <c r="A8" s="2">
        <v>117</v>
      </c>
      <c r="B8" s="2" t="s">
        <v>13</v>
      </c>
      <c r="C8" s="2">
        <v>70</v>
      </c>
      <c r="D8" s="2">
        <v>22</v>
      </c>
      <c r="E8" s="2" t="s">
        <v>43</v>
      </c>
      <c r="F8" s="3">
        <v>45173</v>
      </c>
      <c r="G8" s="2" t="s">
        <v>71</v>
      </c>
      <c r="I8" s="14" t="s">
        <v>197</v>
      </c>
    </row>
    <row r="9" spans="1:10" x14ac:dyDescent="0.25">
      <c r="A9" s="2">
        <v>118</v>
      </c>
      <c r="B9" s="2" t="s">
        <v>14</v>
      </c>
      <c r="C9" s="2">
        <v>85</v>
      </c>
      <c r="D9" s="2">
        <v>7</v>
      </c>
      <c r="E9" s="2" t="s">
        <v>44</v>
      </c>
      <c r="F9" s="3">
        <v>45092</v>
      </c>
      <c r="G9" s="2" t="s">
        <v>67</v>
      </c>
    </row>
    <row r="10" spans="1:10" x14ac:dyDescent="0.25">
      <c r="A10" s="2">
        <v>119</v>
      </c>
      <c r="B10" s="2" t="s">
        <v>15</v>
      </c>
      <c r="C10" s="2">
        <v>95</v>
      </c>
      <c r="D10" s="2">
        <v>23</v>
      </c>
      <c r="E10" s="2" t="s">
        <v>45</v>
      </c>
      <c r="F10" s="3">
        <v>45092</v>
      </c>
      <c r="G10" s="2" t="s">
        <v>67</v>
      </c>
    </row>
    <row r="11" spans="1:10" x14ac:dyDescent="0.25">
      <c r="A11" s="2">
        <v>120</v>
      </c>
      <c r="B11" s="2" t="s">
        <v>16</v>
      </c>
      <c r="C11" s="2">
        <v>55</v>
      </c>
      <c r="D11" s="2">
        <v>45</v>
      </c>
      <c r="E11" s="2" t="s">
        <v>46</v>
      </c>
      <c r="F11" s="3">
        <v>45092</v>
      </c>
      <c r="G11" s="2" t="s">
        <v>67</v>
      </c>
    </row>
    <row r="12" spans="1:10" x14ac:dyDescent="0.25">
      <c r="A12" s="2">
        <v>121</v>
      </c>
      <c r="B12" s="2" t="s">
        <v>17</v>
      </c>
      <c r="C12" s="2">
        <v>65</v>
      </c>
      <c r="D12" s="2">
        <v>90</v>
      </c>
      <c r="E12" s="2" t="s">
        <v>47</v>
      </c>
      <c r="F12" s="3"/>
      <c r="G12" s="2" t="s">
        <v>67</v>
      </c>
    </row>
    <row r="13" spans="1:10" x14ac:dyDescent="0.25">
      <c r="A13" s="2">
        <v>122</v>
      </c>
      <c r="B13" s="2" t="s">
        <v>18</v>
      </c>
      <c r="C13" s="2">
        <v>45</v>
      </c>
      <c r="D13" s="2">
        <v>40</v>
      </c>
      <c r="E13" s="2" t="s">
        <v>48</v>
      </c>
      <c r="F13" s="3">
        <v>45092</v>
      </c>
      <c r="G13" s="2" t="s">
        <v>68</v>
      </c>
    </row>
    <row r="14" spans="1:10" x14ac:dyDescent="0.25">
      <c r="A14" s="2">
        <v>123</v>
      </c>
      <c r="B14" s="2" t="s">
        <v>19</v>
      </c>
      <c r="C14" s="2">
        <v>110</v>
      </c>
      <c r="D14" s="2">
        <v>41</v>
      </c>
      <c r="E14" s="2" t="s">
        <v>49</v>
      </c>
      <c r="F14" s="3">
        <v>45181</v>
      </c>
      <c r="G14" s="2" t="s">
        <v>70</v>
      </c>
    </row>
    <row r="15" spans="1:10" x14ac:dyDescent="0.25">
      <c r="A15" s="2">
        <v>124</v>
      </c>
      <c r="B15" s="2" t="s">
        <v>20</v>
      </c>
      <c r="C15" s="2">
        <v>105</v>
      </c>
      <c r="D15" s="2">
        <v>24</v>
      </c>
      <c r="E15" s="2" t="s">
        <v>50</v>
      </c>
      <c r="F15" s="3">
        <v>45092</v>
      </c>
      <c r="G15" s="2" t="s">
        <v>70</v>
      </c>
    </row>
    <row r="16" spans="1:10" x14ac:dyDescent="0.25">
      <c r="A16" s="2">
        <v>125</v>
      </c>
      <c r="B16" s="2" t="s">
        <v>21</v>
      </c>
      <c r="C16" s="2">
        <v>115</v>
      </c>
      <c r="D16" s="2">
        <v>34</v>
      </c>
      <c r="E16" s="2" t="s">
        <v>51</v>
      </c>
      <c r="F16" s="3">
        <v>45070</v>
      </c>
      <c r="G16" s="2" t="s">
        <v>69</v>
      </c>
    </row>
    <row r="17" spans="1:7" x14ac:dyDescent="0.25">
      <c r="A17" s="2">
        <v>126</v>
      </c>
      <c r="B17" s="2" t="s">
        <v>22</v>
      </c>
      <c r="C17" s="2">
        <v>120</v>
      </c>
      <c r="D17" s="2">
        <v>78</v>
      </c>
      <c r="E17" s="2" t="s">
        <v>52</v>
      </c>
      <c r="F17" s="3">
        <v>45028</v>
      </c>
      <c r="G17" s="2" t="s">
        <v>68</v>
      </c>
    </row>
    <row r="18" spans="1:7" x14ac:dyDescent="0.25">
      <c r="A18" s="2">
        <v>127</v>
      </c>
      <c r="B18" s="2" t="s">
        <v>23</v>
      </c>
      <c r="C18" s="2">
        <v>125</v>
      </c>
      <c r="D18" s="2">
        <v>100</v>
      </c>
      <c r="E18" s="2" t="s">
        <v>53</v>
      </c>
      <c r="F18" s="3">
        <v>45029</v>
      </c>
      <c r="G18" s="2" t="s">
        <v>68</v>
      </c>
    </row>
    <row r="19" spans="1:7" x14ac:dyDescent="0.25">
      <c r="A19" s="2">
        <v>128</v>
      </c>
      <c r="B19" s="2" t="s">
        <v>24</v>
      </c>
      <c r="C19" s="2">
        <v>130</v>
      </c>
      <c r="D19" s="2">
        <v>96</v>
      </c>
      <c r="E19" s="2" t="s">
        <v>54</v>
      </c>
      <c r="F19" s="3">
        <v>45092</v>
      </c>
      <c r="G19" s="2" t="s">
        <v>68</v>
      </c>
    </row>
    <row r="20" spans="1:7" x14ac:dyDescent="0.25">
      <c r="A20" s="2">
        <v>129</v>
      </c>
      <c r="B20" s="2" t="s">
        <v>25</v>
      </c>
      <c r="C20" s="2">
        <v>135</v>
      </c>
      <c r="D20" s="2">
        <v>96</v>
      </c>
      <c r="E20" s="2" t="s">
        <v>55</v>
      </c>
      <c r="F20" s="3">
        <v>45092</v>
      </c>
      <c r="G20" s="2" t="s">
        <v>70</v>
      </c>
    </row>
    <row r="21" spans="1:7" x14ac:dyDescent="0.25">
      <c r="A21" s="2">
        <v>130</v>
      </c>
      <c r="B21" s="2" t="s">
        <v>26</v>
      </c>
      <c r="C21" s="2">
        <v>140</v>
      </c>
      <c r="D21" s="2">
        <v>56</v>
      </c>
      <c r="E21" s="2" t="s">
        <v>56</v>
      </c>
      <c r="F21" s="3">
        <v>44982</v>
      </c>
      <c r="G21" s="2" t="s">
        <v>71</v>
      </c>
    </row>
    <row r="22" spans="1:7" x14ac:dyDescent="0.25">
      <c r="A22" s="2">
        <v>131</v>
      </c>
      <c r="B22" s="2" t="s">
        <v>27</v>
      </c>
      <c r="C22" s="2">
        <v>145</v>
      </c>
      <c r="D22" s="2">
        <v>88</v>
      </c>
      <c r="E22" s="2" t="s">
        <v>57</v>
      </c>
      <c r="F22" s="3">
        <v>45053</v>
      </c>
      <c r="G22" s="2" t="s">
        <v>67</v>
      </c>
    </row>
    <row r="23" spans="1:7" x14ac:dyDescent="0.25">
      <c r="A23" s="2">
        <v>132</v>
      </c>
      <c r="B23" s="2" t="s">
        <v>28</v>
      </c>
      <c r="C23" s="2">
        <v>150</v>
      </c>
      <c r="D23" s="2">
        <v>141</v>
      </c>
      <c r="E23" s="2" t="s">
        <v>58</v>
      </c>
      <c r="F23" s="3">
        <v>45095</v>
      </c>
      <c r="G23" s="2" t="s">
        <v>69</v>
      </c>
    </row>
    <row r="24" spans="1:7" x14ac:dyDescent="0.25">
      <c r="A24" s="2">
        <v>133</v>
      </c>
      <c r="B24" s="2" t="s">
        <v>29</v>
      </c>
      <c r="C24" s="2">
        <v>155</v>
      </c>
      <c r="D24" s="2">
        <v>31</v>
      </c>
      <c r="E24" s="2" t="s">
        <v>59</v>
      </c>
      <c r="F24" s="3">
        <v>45196</v>
      </c>
      <c r="G24" s="2" t="s">
        <v>70</v>
      </c>
    </row>
    <row r="25" spans="1:7" x14ac:dyDescent="0.25">
      <c r="A25" s="2">
        <v>134</v>
      </c>
      <c r="B25" s="2" t="s">
        <v>30</v>
      </c>
      <c r="C25" s="2">
        <v>160</v>
      </c>
      <c r="D25" s="2">
        <v>135</v>
      </c>
      <c r="E25" s="2" t="s">
        <v>60</v>
      </c>
      <c r="F25" s="3">
        <v>45092</v>
      </c>
      <c r="G25" s="2" t="s">
        <v>70</v>
      </c>
    </row>
    <row r="26" spans="1:7" x14ac:dyDescent="0.25">
      <c r="A26" s="2">
        <v>135</v>
      </c>
      <c r="B26" s="2" t="s">
        <v>31</v>
      </c>
      <c r="C26" s="2">
        <v>165</v>
      </c>
      <c r="D26" s="2">
        <v>10</v>
      </c>
      <c r="E26" s="2" t="s">
        <v>61</v>
      </c>
      <c r="F26" s="3">
        <v>45028</v>
      </c>
      <c r="G26" s="2" t="s">
        <v>67</v>
      </c>
    </row>
    <row r="27" spans="1:7" x14ac:dyDescent="0.25">
      <c r="A27" s="2">
        <v>136</v>
      </c>
      <c r="B27" s="2" t="s">
        <v>32</v>
      </c>
      <c r="C27" s="2">
        <v>170</v>
      </c>
      <c r="D27" s="2">
        <v>63</v>
      </c>
      <c r="E27" s="2" t="s">
        <v>62</v>
      </c>
      <c r="F27" s="3">
        <v>45096</v>
      </c>
      <c r="G27" s="2" t="s">
        <v>68</v>
      </c>
    </row>
    <row r="28" spans="1:7" x14ac:dyDescent="0.25">
      <c r="A28" s="2">
        <v>137</v>
      </c>
      <c r="B28" s="2" t="s">
        <v>33</v>
      </c>
      <c r="C28" s="2">
        <v>175</v>
      </c>
      <c r="D28" s="2">
        <v>24</v>
      </c>
      <c r="E28" s="2" t="s">
        <v>63</v>
      </c>
      <c r="F28" s="3">
        <v>45034</v>
      </c>
      <c r="G28" s="2" t="s">
        <v>71</v>
      </c>
    </row>
    <row r="29" spans="1:7" x14ac:dyDescent="0.25">
      <c r="A29" s="2">
        <v>138</v>
      </c>
      <c r="B29" s="2" t="s">
        <v>34</v>
      </c>
      <c r="C29" s="2">
        <v>180</v>
      </c>
      <c r="D29" s="2">
        <v>165</v>
      </c>
      <c r="E29" s="2" t="s">
        <v>64</v>
      </c>
      <c r="F29" s="3">
        <v>45181</v>
      </c>
      <c r="G29" s="2" t="s">
        <v>67</v>
      </c>
    </row>
    <row r="30" spans="1:7" x14ac:dyDescent="0.25">
      <c r="A30" s="2">
        <v>139</v>
      </c>
      <c r="B30" s="2" t="s">
        <v>35</v>
      </c>
      <c r="C30" s="2">
        <v>185</v>
      </c>
      <c r="D30" s="2">
        <v>88</v>
      </c>
      <c r="E30" s="2" t="s">
        <v>65</v>
      </c>
      <c r="F30" s="3">
        <v>45182</v>
      </c>
      <c r="G30" s="2" t="s">
        <v>67</v>
      </c>
    </row>
    <row r="31" spans="1:7" x14ac:dyDescent="0.25">
      <c r="A31" s="2">
        <v>140</v>
      </c>
      <c r="B31" s="2" t="s">
        <v>36</v>
      </c>
      <c r="C31" s="2">
        <v>190</v>
      </c>
      <c r="D31" s="2">
        <v>110</v>
      </c>
      <c r="E31" s="2" t="s">
        <v>66</v>
      </c>
      <c r="F31" s="3">
        <v>44988</v>
      </c>
      <c r="G31" s="2" t="s">
        <v>69</v>
      </c>
    </row>
    <row r="32" spans="1:7" x14ac:dyDescent="0.25">
      <c r="A32" s="2">
        <v>141</v>
      </c>
      <c r="B32" s="2" t="s">
        <v>121</v>
      </c>
      <c r="C32" s="2">
        <v>150</v>
      </c>
      <c r="D32" s="2">
        <v>131</v>
      </c>
      <c r="E32" s="2" t="s">
        <v>120</v>
      </c>
      <c r="F32" s="3">
        <v>45124</v>
      </c>
      <c r="G32" s="2" t="s">
        <v>70</v>
      </c>
    </row>
    <row r="33" spans="1:7" x14ac:dyDescent="0.25">
      <c r="A33" s="2">
        <v>142</v>
      </c>
      <c r="B33" s="2" t="s">
        <v>122</v>
      </c>
      <c r="C33" s="2">
        <v>112</v>
      </c>
      <c r="D33" s="2">
        <v>92</v>
      </c>
      <c r="E33" s="2" t="s">
        <v>119</v>
      </c>
      <c r="F33" s="3">
        <v>45222</v>
      </c>
      <c r="G33" s="2" t="s">
        <v>70</v>
      </c>
    </row>
    <row r="34" spans="1:7" x14ac:dyDescent="0.25">
      <c r="A34" s="2">
        <v>143</v>
      </c>
      <c r="B34" s="2" t="s">
        <v>123</v>
      </c>
      <c r="C34" s="2">
        <v>87</v>
      </c>
      <c r="D34" s="2">
        <v>35</v>
      </c>
      <c r="E34" s="2" t="s">
        <v>118</v>
      </c>
      <c r="F34" s="3">
        <v>45119</v>
      </c>
      <c r="G34" s="2" t="s">
        <v>68</v>
      </c>
    </row>
    <row r="35" spans="1:7" x14ac:dyDescent="0.25">
      <c r="A35" s="2">
        <v>144</v>
      </c>
      <c r="B35" s="2" t="s">
        <v>124</v>
      </c>
      <c r="C35" s="2">
        <v>170</v>
      </c>
      <c r="D35" s="2">
        <v>127</v>
      </c>
      <c r="E35" s="2" t="s">
        <v>117</v>
      </c>
      <c r="F35" s="3">
        <v>45211</v>
      </c>
      <c r="G35" s="2" t="s">
        <v>67</v>
      </c>
    </row>
    <row r="36" spans="1:7" x14ac:dyDescent="0.25">
      <c r="A36" s="2">
        <v>145</v>
      </c>
      <c r="B36" s="2" t="s">
        <v>125</v>
      </c>
      <c r="C36" s="2">
        <v>152</v>
      </c>
      <c r="D36" s="2">
        <v>98</v>
      </c>
      <c r="E36" s="2" t="s">
        <v>116</v>
      </c>
      <c r="F36" s="3">
        <v>45211</v>
      </c>
      <c r="G36" s="2" t="s">
        <v>67</v>
      </c>
    </row>
    <row r="37" spans="1:7" x14ac:dyDescent="0.25">
      <c r="A37" s="2">
        <v>146</v>
      </c>
      <c r="B37" s="2" t="s">
        <v>126</v>
      </c>
      <c r="C37" s="2">
        <v>183</v>
      </c>
      <c r="D37" s="2">
        <v>63</v>
      </c>
      <c r="E37" s="2" t="s">
        <v>115</v>
      </c>
      <c r="F37" s="3">
        <v>45212</v>
      </c>
      <c r="G37" s="2" t="s">
        <v>67</v>
      </c>
    </row>
    <row r="38" spans="1:7" x14ac:dyDescent="0.25">
      <c r="A38" s="2">
        <v>147</v>
      </c>
      <c r="B38" s="2" t="s">
        <v>127</v>
      </c>
      <c r="C38" s="2">
        <v>190</v>
      </c>
      <c r="D38" s="2">
        <v>130</v>
      </c>
      <c r="E38" s="2" t="s">
        <v>114</v>
      </c>
      <c r="F38" s="3">
        <v>45124</v>
      </c>
      <c r="G38" s="2" t="s">
        <v>68</v>
      </c>
    </row>
    <row r="39" spans="1:7" x14ac:dyDescent="0.25">
      <c r="A39" s="2">
        <v>148</v>
      </c>
      <c r="B39" s="2" t="s">
        <v>128</v>
      </c>
      <c r="C39" s="2">
        <v>66</v>
      </c>
      <c r="D39" s="2">
        <v>139</v>
      </c>
      <c r="E39" s="2" t="s">
        <v>113</v>
      </c>
      <c r="F39" s="3">
        <v>45125</v>
      </c>
      <c r="G39" s="2" t="s">
        <v>68</v>
      </c>
    </row>
    <row r="40" spans="1:7" x14ac:dyDescent="0.25">
      <c r="A40" s="2">
        <v>149</v>
      </c>
      <c r="B40" s="2" t="s">
        <v>129</v>
      </c>
      <c r="C40" s="2">
        <v>174</v>
      </c>
      <c r="D40" s="2">
        <v>39</v>
      </c>
      <c r="E40" s="2" t="s">
        <v>112</v>
      </c>
      <c r="F40" s="3">
        <v>45124</v>
      </c>
      <c r="G40" s="2" t="s">
        <v>68</v>
      </c>
    </row>
    <row r="41" spans="1:7" x14ac:dyDescent="0.25">
      <c r="A41" s="2">
        <v>150</v>
      </c>
      <c r="B41" s="2" t="s">
        <v>130</v>
      </c>
      <c r="C41" s="2">
        <v>141</v>
      </c>
      <c r="D41" s="2">
        <v>50</v>
      </c>
      <c r="E41" s="2" t="s">
        <v>111</v>
      </c>
      <c r="F41" s="3">
        <v>45222</v>
      </c>
      <c r="G41" s="2" t="s">
        <v>70</v>
      </c>
    </row>
    <row r="42" spans="1:7" x14ac:dyDescent="0.25">
      <c r="A42" s="2">
        <v>151</v>
      </c>
      <c r="B42" s="2" t="s">
        <v>131</v>
      </c>
      <c r="C42" s="2">
        <v>88</v>
      </c>
      <c r="D42" s="2">
        <v>87</v>
      </c>
      <c r="E42" s="2" t="s">
        <v>110</v>
      </c>
      <c r="F42" s="3">
        <v>45210</v>
      </c>
      <c r="G42" s="2" t="s">
        <v>68</v>
      </c>
    </row>
    <row r="43" spans="1:7" x14ac:dyDescent="0.25">
      <c r="A43" s="2">
        <v>152</v>
      </c>
      <c r="B43" s="2" t="s">
        <v>132</v>
      </c>
      <c r="C43" s="2">
        <v>142</v>
      </c>
      <c r="D43" s="2">
        <v>83</v>
      </c>
      <c r="E43" s="2" t="s">
        <v>109</v>
      </c>
      <c r="F43" s="3">
        <v>45211</v>
      </c>
      <c r="G43" s="2" t="s">
        <v>68</v>
      </c>
    </row>
    <row r="44" spans="1:7" x14ac:dyDescent="0.25">
      <c r="A44" s="2">
        <v>153</v>
      </c>
      <c r="B44" s="2" t="s">
        <v>133</v>
      </c>
      <c r="C44" s="2">
        <v>147</v>
      </c>
      <c r="D44" s="2">
        <v>85</v>
      </c>
      <c r="E44" s="2" t="s">
        <v>108</v>
      </c>
      <c r="F44" s="3">
        <v>45129</v>
      </c>
      <c r="G44" s="2" t="s">
        <v>67</v>
      </c>
    </row>
    <row r="45" spans="1:7" x14ac:dyDescent="0.25">
      <c r="A45" s="2">
        <v>154</v>
      </c>
      <c r="B45" s="2" t="s">
        <v>134</v>
      </c>
      <c r="C45" s="2">
        <v>163</v>
      </c>
      <c r="D45" s="2">
        <v>124</v>
      </c>
      <c r="E45" s="2" t="s">
        <v>107</v>
      </c>
      <c r="F45" s="3">
        <v>45229</v>
      </c>
      <c r="G45" s="2" t="s">
        <v>70</v>
      </c>
    </row>
    <row r="46" spans="1:7" x14ac:dyDescent="0.25">
      <c r="A46" s="2">
        <v>155</v>
      </c>
      <c r="B46" s="2" t="s">
        <v>135</v>
      </c>
      <c r="C46" s="2">
        <v>198</v>
      </c>
      <c r="D46" s="2">
        <v>55</v>
      </c>
      <c r="E46" s="2" t="s">
        <v>106</v>
      </c>
      <c r="F46" s="3">
        <v>45122</v>
      </c>
      <c r="G46" s="2" t="s">
        <v>67</v>
      </c>
    </row>
    <row r="47" spans="1:7" x14ac:dyDescent="0.25">
      <c r="A47" s="2">
        <v>156</v>
      </c>
      <c r="B47" s="2" t="s">
        <v>136</v>
      </c>
      <c r="C47" s="2">
        <v>124</v>
      </c>
      <c r="D47" s="2">
        <v>122</v>
      </c>
      <c r="E47" s="2" t="s">
        <v>105</v>
      </c>
      <c r="F47" s="3">
        <v>45169</v>
      </c>
      <c r="G47" s="2" t="s">
        <v>70</v>
      </c>
    </row>
    <row r="48" spans="1:7" x14ac:dyDescent="0.25">
      <c r="A48" s="2">
        <v>157</v>
      </c>
      <c r="B48" s="2" t="s">
        <v>137</v>
      </c>
      <c r="C48" s="2">
        <v>199</v>
      </c>
      <c r="D48" s="2">
        <v>101</v>
      </c>
      <c r="E48" s="2" t="s">
        <v>104</v>
      </c>
      <c r="F48" s="3">
        <v>45133</v>
      </c>
      <c r="G48" s="2" t="s">
        <v>68</v>
      </c>
    </row>
    <row r="49" spans="1:7" x14ac:dyDescent="0.25">
      <c r="A49" s="2">
        <v>158</v>
      </c>
      <c r="B49" s="2" t="s">
        <v>138</v>
      </c>
      <c r="C49" s="2">
        <v>97</v>
      </c>
      <c r="D49" s="2">
        <v>85</v>
      </c>
      <c r="E49" s="2" t="s">
        <v>103</v>
      </c>
      <c r="F49" s="3">
        <v>45188</v>
      </c>
      <c r="G49" s="2" t="s">
        <v>67</v>
      </c>
    </row>
    <row r="50" spans="1:7" x14ac:dyDescent="0.25">
      <c r="A50" s="2">
        <v>159</v>
      </c>
      <c r="B50" s="2" t="s">
        <v>139</v>
      </c>
      <c r="C50" s="2">
        <v>167</v>
      </c>
      <c r="D50" s="2">
        <v>92</v>
      </c>
      <c r="E50" s="2" t="s">
        <v>102</v>
      </c>
      <c r="F50" s="3">
        <v>45188</v>
      </c>
      <c r="G50" s="2" t="s">
        <v>67</v>
      </c>
    </row>
    <row r="51" spans="1:7" x14ac:dyDescent="0.25">
      <c r="A51" s="2">
        <v>160</v>
      </c>
      <c r="B51" s="2" t="s">
        <v>140</v>
      </c>
      <c r="C51" s="2">
        <v>140</v>
      </c>
      <c r="D51" s="2">
        <v>81</v>
      </c>
      <c r="E51" s="2" t="s">
        <v>101</v>
      </c>
      <c r="F51" s="3">
        <v>45229</v>
      </c>
      <c r="G51" s="2" t="s">
        <v>70</v>
      </c>
    </row>
    <row r="52" spans="1:7" x14ac:dyDescent="0.25">
      <c r="A52" s="2">
        <v>161</v>
      </c>
      <c r="B52" s="2" t="s">
        <v>141</v>
      </c>
      <c r="C52" s="2">
        <v>116</v>
      </c>
      <c r="D52" s="2">
        <v>31</v>
      </c>
      <c r="E52" s="2" t="s">
        <v>100</v>
      </c>
      <c r="F52" s="3">
        <v>45124</v>
      </c>
      <c r="G52" s="2" t="s">
        <v>70</v>
      </c>
    </row>
    <row r="53" spans="1:7" x14ac:dyDescent="0.25">
      <c r="A53" s="2">
        <v>162</v>
      </c>
      <c r="B53" s="2" t="s">
        <v>142</v>
      </c>
      <c r="C53" s="2">
        <v>72</v>
      </c>
      <c r="D53" s="2">
        <v>42</v>
      </c>
      <c r="E53" s="2" t="s">
        <v>99</v>
      </c>
      <c r="F53" s="3">
        <v>45173</v>
      </c>
      <c r="G53" s="2" t="s">
        <v>70</v>
      </c>
    </row>
    <row r="54" spans="1:7" x14ac:dyDescent="0.25">
      <c r="A54" s="2">
        <v>163</v>
      </c>
      <c r="B54" s="2" t="s">
        <v>143</v>
      </c>
      <c r="C54" s="2">
        <v>147</v>
      </c>
      <c r="D54" s="2">
        <v>145</v>
      </c>
      <c r="E54" s="2" t="s">
        <v>98</v>
      </c>
      <c r="F54" s="3">
        <v>45124</v>
      </c>
      <c r="G54" s="2" t="s">
        <v>70</v>
      </c>
    </row>
    <row r="55" spans="1:7" x14ac:dyDescent="0.25">
      <c r="A55" s="2">
        <v>164</v>
      </c>
      <c r="B55" s="2" t="s">
        <v>144</v>
      </c>
      <c r="C55" s="2">
        <v>76</v>
      </c>
      <c r="D55" s="2">
        <v>43</v>
      </c>
      <c r="E55" s="2" t="s">
        <v>97</v>
      </c>
      <c r="F55" s="3">
        <v>45138</v>
      </c>
      <c r="G55" s="2" t="s">
        <v>68</v>
      </c>
    </row>
    <row r="56" spans="1:7" x14ac:dyDescent="0.25">
      <c r="A56" s="2">
        <v>165</v>
      </c>
      <c r="B56" s="2" t="s">
        <v>145</v>
      </c>
      <c r="C56" s="2">
        <v>54</v>
      </c>
      <c r="D56" s="2">
        <v>40</v>
      </c>
      <c r="E56" s="2" t="s">
        <v>96</v>
      </c>
      <c r="F56" s="3">
        <v>45155</v>
      </c>
      <c r="G56" s="2" t="s">
        <v>70</v>
      </c>
    </row>
    <row r="57" spans="1:7" x14ac:dyDescent="0.25">
      <c r="A57" s="2">
        <v>166</v>
      </c>
      <c r="B57" s="2" t="s">
        <v>146</v>
      </c>
      <c r="C57" s="2">
        <v>130</v>
      </c>
      <c r="D57" s="2">
        <v>67</v>
      </c>
      <c r="E57" s="2" t="s">
        <v>95</v>
      </c>
      <c r="F57" s="3">
        <v>45133</v>
      </c>
      <c r="G57" s="2" t="s">
        <v>68</v>
      </c>
    </row>
    <row r="58" spans="1:7" x14ac:dyDescent="0.25">
      <c r="A58" s="2">
        <v>167</v>
      </c>
      <c r="B58" s="2" t="s">
        <v>147</v>
      </c>
      <c r="C58" s="2">
        <v>120</v>
      </c>
      <c r="D58" s="2">
        <v>84</v>
      </c>
      <c r="E58" s="2" t="s">
        <v>94</v>
      </c>
      <c r="F58" s="3">
        <v>45119</v>
      </c>
      <c r="G58" s="2" t="s">
        <v>68</v>
      </c>
    </row>
    <row r="59" spans="1:7" x14ac:dyDescent="0.25">
      <c r="A59" s="2">
        <v>168</v>
      </c>
      <c r="B59" s="2" t="s">
        <v>148</v>
      </c>
      <c r="C59" s="2">
        <v>170</v>
      </c>
      <c r="D59" s="2">
        <v>93</v>
      </c>
      <c r="E59" s="2" t="s">
        <v>38</v>
      </c>
      <c r="F59" s="3">
        <v>45120</v>
      </c>
      <c r="G59" s="2" t="s">
        <v>68</v>
      </c>
    </row>
    <row r="60" spans="1:7" x14ac:dyDescent="0.25">
      <c r="A60" s="2">
        <v>169</v>
      </c>
      <c r="B60" s="2" t="s">
        <v>149</v>
      </c>
      <c r="C60" s="2">
        <v>60</v>
      </c>
      <c r="D60" s="2">
        <v>10</v>
      </c>
      <c r="E60" s="2" t="s">
        <v>93</v>
      </c>
      <c r="F60" s="3">
        <v>45130</v>
      </c>
      <c r="G60" s="2" t="s">
        <v>68</v>
      </c>
    </row>
    <row r="61" spans="1:7" x14ac:dyDescent="0.25">
      <c r="A61" s="2">
        <v>170</v>
      </c>
      <c r="B61" s="2" t="s">
        <v>150</v>
      </c>
      <c r="C61" s="2">
        <v>162</v>
      </c>
      <c r="D61" s="2">
        <v>12</v>
      </c>
      <c r="E61" s="2" t="s">
        <v>92</v>
      </c>
      <c r="F61" s="3">
        <v>45130</v>
      </c>
      <c r="G61" s="2" t="s">
        <v>68</v>
      </c>
    </row>
    <row r="62" spans="1:7" x14ac:dyDescent="0.25">
      <c r="A62" s="2">
        <v>171</v>
      </c>
      <c r="B62" s="2" t="s">
        <v>151</v>
      </c>
      <c r="C62" s="2">
        <v>94</v>
      </c>
      <c r="D62" s="2">
        <v>79</v>
      </c>
      <c r="E62" s="2" t="s">
        <v>91</v>
      </c>
      <c r="F62" s="3">
        <v>45124</v>
      </c>
      <c r="G62" s="2" t="s">
        <v>70</v>
      </c>
    </row>
    <row r="63" spans="1:7" x14ac:dyDescent="0.25">
      <c r="A63" s="2">
        <v>172</v>
      </c>
      <c r="B63" s="2" t="s">
        <v>152</v>
      </c>
      <c r="C63" s="2">
        <v>114</v>
      </c>
      <c r="D63" s="2">
        <v>26</v>
      </c>
      <c r="E63" s="2" t="s">
        <v>90</v>
      </c>
      <c r="F63" s="3">
        <v>45125</v>
      </c>
      <c r="G63" s="2" t="s">
        <v>67</v>
      </c>
    </row>
    <row r="64" spans="1:7" x14ac:dyDescent="0.25">
      <c r="A64" s="2">
        <v>173</v>
      </c>
      <c r="B64" s="2" t="s">
        <v>153</v>
      </c>
      <c r="C64" s="2">
        <v>63</v>
      </c>
      <c r="D64" s="2">
        <v>4</v>
      </c>
      <c r="E64" s="2" t="s">
        <v>89</v>
      </c>
      <c r="F64" s="3">
        <v>45192</v>
      </c>
      <c r="G64" s="2" t="s">
        <v>70</v>
      </c>
    </row>
    <row r="65" spans="1:7" x14ac:dyDescent="0.25">
      <c r="A65" s="2">
        <v>174</v>
      </c>
      <c r="B65" s="2" t="s">
        <v>154</v>
      </c>
      <c r="C65" s="2">
        <v>57</v>
      </c>
      <c r="D65" s="2">
        <v>77</v>
      </c>
      <c r="E65" s="2" t="s">
        <v>88</v>
      </c>
      <c r="F65" s="3"/>
      <c r="G65" s="2" t="s">
        <v>70</v>
      </c>
    </row>
    <row r="66" spans="1:7" x14ac:dyDescent="0.25">
      <c r="A66" s="2">
        <v>175</v>
      </c>
      <c r="B66" s="2" t="s">
        <v>155</v>
      </c>
      <c r="C66" s="2">
        <v>195</v>
      </c>
      <c r="D66" s="2">
        <v>134</v>
      </c>
      <c r="E66" s="2" t="s">
        <v>87</v>
      </c>
      <c r="F66" s="3">
        <v>45124</v>
      </c>
      <c r="G66" s="2" t="s">
        <v>68</v>
      </c>
    </row>
    <row r="67" spans="1:7" x14ac:dyDescent="0.25">
      <c r="A67" s="2">
        <v>176</v>
      </c>
      <c r="B67" s="2" t="s">
        <v>156</v>
      </c>
      <c r="C67" s="2">
        <v>72</v>
      </c>
      <c r="D67" s="2">
        <v>25</v>
      </c>
      <c r="E67" s="2" t="s">
        <v>86</v>
      </c>
      <c r="F67" s="3">
        <v>45169</v>
      </c>
      <c r="G67" s="2" t="s">
        <v>70</v>
      </c>
    </row>
    <row r="68" spans="1:7" x14ac:dyDescent="0.25">
      <c r="A68" s="2">
        <v>177</v>
      </c>
      <c r="B68" s="2" t="s">
        <v>157</v>
      </c>
      <c r="C68" s="2">
        <v>129</v>
      </c>
      <c r="D68" s="2">
        <v>51</v>
      </c>
      <c r="E68" s="2" t="s">
        <v>85</v>
      </c>
      <c r="F68" s="3">
        <v>45124</v>
      </c>
      <c r="G68" s="2" t="s">
        <v>67</v>
      </c>
    </row>
    <row r="69" spans="1:7" x14ac:dyDescent="0.25">
      <c r="A69" s="2">
        <v>178</v>
      </c>
      <c r="B69" s="2" t="s">
        <v>158</v>
      </c>
      <c r="C69" s="2">
        <v>77</v>
      </c>
      <c r="D69" s="2">
        <v>71</v>
      </c>
      <c r="E69" s="2" t="s">
        <v>84</v>
      </c>
      <c r="F69" s="3">
        <v>45134</v>
      </c>
      <c r="G69" s="2" t="s">
        <v>70</v>
      </c>
    </row>
    <row r="70" spans="1:7" x14ac:dyDescent="0.25">
      <c r="A70" s="2">
        <v>179</v>
      </c>
      <c r="B70" s="2" t="s">
        <v>159</v>
      </c>
      <c r="C70" s="2">
        <v>50</v>
      </c>
      <c r="D70" s="2">
        <v>69</v>
      </c>
      <c r="E70" s="2" t="s">
        <v>83</v>
      </c>
      <c r="F70" s="3">
        <v>45160</v>
      </c>
      <c r="G70" s="2" t="s">
        <v>68</v>
      </c>
    </row>
    <row r="71" spans="1:7" x14ac:dyDescent="0.25">
      <c r="A71" s="2">
        <v>180</v>
      </c>
      <c r="B71" s="2" t="s">
        <v>160</v>
      </c>
      <c r="C71" s="2">
        <v>123</v>
      </c>
      <c r="D71" s="2">
        <v>38</v>
      </c>
      <c r="E71" s="2" t="s">
        <v>82</v>
      </c>
      <c r="F71" s="3">
        <v>45181</v>
      </c>
      <c r="G71" s="2" t="s">
        <v>67</v>
      </c>
    </row>
    <row r="72" spans="1:7" x14ac:dyDescent="0.25">
      <c r="A72" s="2">
        <v>181</v>
      </c>
      <c r="B72" s="2" t="s">
        <v>161</v>
      </c>
      <c r="C72" s="2">
        <v>109</v>
      </c>
      <c r="D72" s="2">
        <v>62</v>
      </c>
      <c r="E72" s="2" t="s">
        <v>81</v>
      </c>
      <c r="F72" s="3">
        <v>45124</v>
      </c>
      <c r="G72" s="2" t="s">
        <v>67</v>
      </c>
    </row>
    <row r="73" spans="1:7" x14ac:dyDescent="0.25">
      <c r="A73" s="2">
        <v>182</v>
      </c>
      <c r="B73" s="2" t="s">
        <v>162</v>
      </c>
      <c r="C73" s="2">
        <v>86</v>
      </c>
      <c r="D73" s="2">
        <v>11</v>
      </c>
      <c r="E73" s="2" t="s">
        <v>80</v>
      </c>
      <c r="F73" s="3">
        <v>45125</v>
      </c>
      <c r="G73" s="2" t="s">
        <v>67</v>
      </c>
    </row>
    <row r="74" spans="1:7" x14ac:dyDescent="0.25">
      <c r="A74" s="2">
        <v>183</v>
      </c>
      <c r="B74" s="2" t="s">
        <v>163</v>
      </c>
      <c r="C74" s="2">
        <v>176</v>
      </c>
      <c r="D74" s="2">
        <v>51</v>
      </c>
      <c r="E74" s="2" t="s">
        <v>79</v>
      </c>
      <c r="F74" s="3">
        <v>45125</v>
      </c>
      <c r="G74" s="2" t="s">
        <v>68</v>
      </c>
    </row>
    <row r="75" spans="1:7" x14ac:dyDescent="0.25">
      <c r="A75" s="2">
        <v>184</v>
      </c>
      <c r="B75" s="2" t="s">
        <v>164</v>
      </c>
      <c r="C75" s="2">
        <v>75</v>
      </c>
      <c r="D75" s="2">
        <v>32</v>
      </c>
      <c r="E75" s="2" t="s">
        <v>78</v>
      </c>
      <c r="F75" s="3">
        <v>45210</v>
      </c>
      <c r="G75" s="2" t="s">
        <v>68</v>
      </c>
    </row>
    <row r="76" spans="1:7" x14ac:dyDescent="0.25">
      <c r="A76" s="2">
        <v>185</v>
      </c>
      <c r="B76" s="2" t="s">
        <v>165</v>
      </c>
      <c r="C76" s="2">
        <v>154</v>
      </c>
      <c r="D76" s="2">
        <v>67</v>
      </c>
      <c r="E76" s="2" t="s">
        <v>77</v>
      </c>
      <c r="F76" s="3">
        <v>45224</v>
      </c>
      <c r="G76" s="2" t="s">
        <v>68</v>
      </c>
    </row>
    <row r="77" spans="1:7" x14ac:dyDescent="0.25">
      <c r="A77" s="2">
        <v>186</v>
      </c>
      <c r="B77" s="2" t="s">
        <v>166</v>
      </c>
      <c r="C77" s="2">
        <v>161</v>
      </c>
      <c r="D77" s="2">
        <v>72</v>
      </c>
      <c r="E77" s="2" t="s">
        <v>76</v>
      </c>
      <c r="F77" s="3">
        <v>45212</v>
      </c>
      <c r="G77" s="2" t="s">
        <v>67</v>
      </c>
    </row>
    <row r="78" spans="1:7" x14ac:dyDescent="0.25">
      <c r="A78" s="2">
        <v>187</v>
      </c>
      <c r="B78" s="2" t="s">
        <v>167</v>
      </c>
      <c r="C78" s="2">
        <v>111</v>
      </c>
      <c r="D78" s="2">
        <v>62</v>
      </c>
      <c r="E78" s="2" t="s">
        <v>75</v>
      </c>
      <c r="F78" s="3">
        <v>45134</v>
      </c>
      <c r="G78" s="2" t="s">
        <v>70</v>
      </c>
    </row>
    <row r="79" spans="1:7" x14ac:dyDescent="0.25">
      <c r="A79" s="2">
        <v>188</v>
      </c>
      <c r="B79" s="2" t="s">
        <v>168</v>
      </c>
      <c r="C79" s="2">
        <v>68</v>
      </c>
      <c r="D79" s="2">
        <v>55</v>
      </c>
      <c r="E79" s="2" t="s">
        <v>74</v>
      </c>
      <c r="F79" s="3">
        <v>45182</v>
      </c>
      <c r="G79" s="2" t="s">
        <v>70</v>
      </c>
    </row>
    <row r="80" spans="1:7" x14ac:dyDescent="0.25">
      <c r="A80" s="2">
        <v>189</v>
      </c>
      <c r="B80" s="2" t="s">
        <v>169</v>
      </c>
      <c r="C80" s="2">
        <v>124</v>
      </c>
      <c r="D80" s="2">
        <v>141</v>
      </c>
      <c r="E80" s="2" t="s">
        <v>73</v>
      </c>
      <c r="F80" s="3"/>
      <c r="G80" s="2" t="s">
        <v>68</v>
      </c>
    </row>
    <row r="81" spans="1:7" x14ac:dyDescent="0.25">
      <c r="A81" s="2">
        <v>190</v>
      </c>
      <c r="B81" s="2" t="s">
        <v>170</v>
      </c>
      <c r="C81" s="2">
        <v>125</v>
      </c>
      <c r="D81" s="2">
        <v>145</v>
      </c>
      <c r="E81" s="2" t="s">
        <v>72</v>
      </c>
      <c r="F81" s="3"/>
      <c r="G81" s="2" t="s">
        <v>68</v>
      </c>
    </row>
  </sheetData>
  <autoFilter ref="A1:G81" xr:uid="{00000000-0001-0000-0000-000000000000}"/>
  <phoneticPr fontId="2" type="noConversion"/>
  <hyperlinks>
    <hyperlink ref="I8" location="Analisis!A1" display="Analisis!A1" xr:uid="{6034D4A2-2841-42CC-A626-EA0DD643589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BF25C-9E31-46C5-81D6-E9C6E3D039D3}">
  <sheetPr codeName="Hoja10" filterMode="1"/>
  <dimension ref="A1:B81"/>
  <sheetViews>
    <sheetView tabSelected="1" workbookViewId="0">
      <selection activeCell="B1" sqref="B1"/>
    </sheetView>
  </sheetViews>
  <sheetFormatPr baseColWidth="10" defaultRowHeight="15" x14ac:dyDescent="0.25"/>
  <cols>
    <col min="1" max="1" width="19.28515625" bestFit="1" customWidth="1"/>
    <col min="2" max="2" width="12.28515625" bestFit="1" customWidth="1"/>
  </cols>
  <sheetData>
    <row r="1" spans="1:2" x14ac:dyDescent="0.25">
      <c r="A1" s="1" t="s">
        <v>1</v>
      </c>
      <c r="B1" s="1" t="s">
        <v>6</v>
      </c>
    </row>
    <row r="2" spans="1:2" x14ac:dyDescent="0.25">
      <c r="A2" s="2" t="s">
        <v>7</v>
      </c>
      <c r="B2" s="2" t="s">
        <v>67</v>
      </c>
    </row>
    <row r="3" spans="1:2" hidden="1" x14ac:dyDescent="0.25">
      <c r="A3" s="2" t="s">
        <v>8</v>
      </c>
      <c r="B3" s="2" t="s">
        <v>68</v>
      </c>
    </row>
    <row r="4" spans="1:2" hidden="1" x14ac:dyDescent="0.25">
      <c r="A4" s="2" t="s">
        <v>9</v>
      </c>
      <c r="B4" s="2" t="s">
        <v>69</v>
      </c>
    </row>
    <row r="5" spans="1:2" hidden="1" x14ac:dyDescent="0.25">
      <c r="A5" s="2" t="s">
        <v>10</v>
      </c>
      <c r="B5" s="2" t="s">
        <v>70</v>
      </c>
    </row>
    <row r="6" spans="1:2" hidden="1" x14ac:dyDescent="0.25">
      <c r="A6" s="2" t="s">
        <v>11</v>
      </c>
      <c r="B6" s="2" t="s">
        <v>68</v>
      </c>
    </row>
    <row r="7" spans="1:2" hidden="1" x14ac:dyDescent="0.25">
      <c r="A7" s="2" t="s">
        <v>12</v>
      </c>
      <c r="B7" s="2" t="s">
        <v>70</v>
      </c>
    </row>
    <row r="8" spans="1:2" hidden="1" x14ac:dyDescent="0.25">
      <c r="A8" s="2" t="s">
        <v>13</v>
      </c>
      <c r="B8" s="2" t="s">
        <v>71</v>
      </c>
    </row>
    <row r="9" spans="1:2" hidden="1" x14ac:dyDescent="0.25">
      <c r="A9" s="2" t="s">
        <v>14</v>
      </c>
      <c r="B9" s="2" t="s">
        <v>67</v>
      </c>
    </row>
    <row r="10" spans="1:2" hidden="1" x14ac:dyDescent="0.25">
      <c r="A10" s="2" t="s">
        <v>15</v>
      </c>
      <c r="B10" s="2" t="s">
        <v>67</v>
      </c>
    </row>
    <row r="11" spans="1:2" hidden="1" x14ac:dyDescent="0.25">
      <c r="A11" s="2" t="s">
        <v>16</v>
      </c>
      <c r="B11" s="2" t="s">
        <v>67</v>
      </c>
    </row>
    <row r="12" spans="1:2" hidden="1" x14ac:dyDescent="0.25">
      <c r="A12" s="2" t="s">
        <v>17</v>
      </c>
      <c r="B12" s="2" t="s">
        <v>67</v>
      </c>
    </row>
    <row r="13" spans="1:2" hidden="1" x14ac:dyDescent="0.25">
      <c r="A13" s="2" t="s">
        <v>18</v>
      </c>
      <c r="B13" s="2" t="s">
        <v>68</v>
      </c>
    </row>
    <row r="14" spans="1:2" hidden="1" x14ac:dyDescent="0.25">
      <c r="A14" s="2" t="s">
        <v>19</v>
      </c>
      <c r="B14" s="2" t="s">
        <v>70</v>
      </c>
    </row>
    <row r="15" spans="1:2" hidden="1" x14ac:dyDescent="0.25">
      <c r="A15" s="2" t="s">
        <v>20</v>
      </c>
      <c r="B15" s="2" t="s">
        <v>70</v>
      </c>
    </row>
    <row r="16" spans="1:2" hidden="1" x14ac:dyDescent="0.25">
      <c r="A16" s="2" t="s">
        <v>21</v>
      </c>
      <c r="B16" s="2" t="s">
        <v>69</v>
      </c>
    </row>
    <row r="17" spans="1:2" hidden="1" x14ac:dyDescent="0.25">
      <c r="A17" s="2" t="s">
        <v>22</v>
      </c>
      <c r="B17" s="2" t="s">
        <v>68</v>
      </c>
    </row>
    <row r="18" spans="1:2" hidden="1" x14ac:dyDescent="0.25">
      <c r="A18" s="2" t="s">
        <v>23</v>
      </c>
      <c r="B18" s="2" t="s">
        <v>68</v>
      </c>
    </row>
    <row r="19" spans="1:2" hidden="1" x14ac:dyDescent="0.25">
      <c r="A19" s="2" t="s">
        <v>24</v>
      </c>
      <c r="B19" s="2" t="s">
        <v>68</v>
      </c>
    </row>
    <row r="20" spans="1:2" hidden="1" x14ac:dyDescent="0.25">
      <c r="A20" s="2" t="s">
        <v>25</v>
      </c>
      <c r="B20" s="2" t="s">
        <v>70</v>
      </c>
    </row>
    <row r="21" spans="1:2" hidden="1" x14ac:dyDescent="0.25">
      <c r="A21" s="2" t="s">
        <v>26</v>
      </c>
      <c r="B21" s="2" t="s">
        <v>71</v>
      </c>
    </row>
    <row r="22" spans="1:2" hidden="1" x14ac:dyDescent="0.25">
      <c r="A22" s="2" t="s">
        <v>27</v>
      </c>
      <c r="B22" s="2" t="s">
        <v>67</v>
      </c>
    </row>
    <row r="23" spans="1:2" hidden="1" x14ac:dyDescent="0.25">
      <c r="A23" s="2" t="s">
        <v>28</v>
      </c>
      <c r="B23" s="2" t="s">
        <v>69</v>
      </c>
    </row>
    <row r="24" spans="1:2" x14ac:dyDescent="0.25">
      <c r="A24" s="2" t="s">
        <v>29</v>
      </c>
      <c r="B24" s="2" t="s">
        <v>70</v>
      </c>
    </row>
    <row r="25" spans="1:2" hidden="1" x14ac:dyDescent="0.25">
      <c r="A25" s="2" t="s">
        <v>30</v>
      </c>
      <c r="B25" s="2" t="s">
        <v>70</v>
      </c>
    </row>
    <row r="26" spans="1:2" hidden="1" x14ac:dyDescent="0.25">
      <c r="A26" s="2" t="s">
        <v>31</v>
      </c>
      <c r="B26" s="2" t="s">
        <v>67</v>
      </c>
    </row>
    <row r="27" spans="1:2" hidden="1" x14ac:dyDescent="0.25">
      <c r="A27" s="2" t="s">
        <v>32</v>
      </c>
      <c r="B27" s="2" t="s">
        <v>68</v>
      </c>
    </row>
    <row r="28" spans="1:2" hidden="1" x14ac:dyDescent="0.25">
      <c r="A28" s="2" t="s">
        <v>33</v>
      </c>
      <c r="B28" s="2" t="s">
        <v>71</v>
      </c>
    </row>
    <row r="29" spans="1:2" hidden="1" x14ac:dyDescent="0.25">
      <c r="A29" s="2" t="s">
        <v>34</v>
      </c>
      <c r="B29" s="2" t="s">
        <v>67</v>
      </c>
    </row>
    <row r="30" spans="1:2" hidden="1" x14ac:dyDescent="0.25">
      <c r="A30" s="2" t="s">
        <v>35</v>
      </c>
      <c r="B30" s="2" t="s">
        <v>67</v>
      </c>
    </row>
    <row r="31" spans="1:2" hidden="1" x14ac:dyDescent="0.25">
      <c r="A31" s="2" t="s">
        <v>36</v>
      </c>
      <c r="B31" s="2" t="s">
        <v>69</v>
      </c>
    </row>
    <row r="32" spans="1:2" hidden="1" x14ac:dyDescent="0.25">
      <c r="A32" s="2" t="s">
        <v>121</v>
      </c>
      <c r="B32" s="2" t="s">
        <v>70</v>
      </c>
    </row>
    <row r="33" spans="1:2" hidden="1" x14ac:dyDescent="0.25">
      <c r="A33" s="2" t="s">
        <v>122</v>
      </c>
      <c r="B33" s="2" t="s">
        <v>70</v>
      </c>
    </row>
    <row r="34" spans="1:2" hidden="1" x14ac:dyDescent="0.25">
      <c r="A34" s="2" t="s">
        <v>123</v>
      </c>
      <c r="B34" s="2" t="s">
        <v>68</v>
      </c>
    </row>
    <row r="35" spans="1:2" hidden="1" x14ac:dyDescent="0.25">
      <c r="A35" s="2" t="s">
        <v>124</v>
      </c>
      <c r="B35" s="2" t="s">
        <v>67</v>
      </c>
    </row>
    <row r="36" spans="1:2" hidden="1" x14ac:dyDescent="0.25">
      <c r="A36" s="2" t="s">
        <v>125</v>
      </c>
      <c r="B36" s="2" t="s">
        <v>67</v>
      </c>
    </row>
    <row r="37" spans="1:2" hidden="1" x14ac:dyDescent="0.25">
      <c r="A37" s="2" t="s">
        <v>126</v>
      </c>
      <c r="B37" s="2" t="s">
        <v>67</v>
      </c>
    </row>
    <row r="38" spans="1:2" hidden="1" x14ac:dyDescent="0.25">
      <c r="A38" s="2" t="s">
        <v>127</v>
      </c>
      <c r="B38" s="2" t="s">
        <v>68</v>
      </c>
    </row>
    <row r="39" spans="1:2" hidden="1" x14ac:dyDescent="0.25">
      <c r="A39" s="2" t="s">
        <v>128</v>
      </c>
      <c r="B39" s="2" t="s">
        <v>68</v>
      </c>
    </row>
    <row r="40" spans="1:2" hidden="1" x14ac:dyDescent="0.25">
      <c r="A40" s="2" t="s">
        <v>129</v>
      </c>
      <c r="B40" s="2" t="s">
        <v>68</v>
      </c>
    </row>
    <row r="41" spans="1:2" hidden="1" x14ac:dyDescent="0.25">
      <c r="A41" s="2" t="s">
        <v>130</v>
      </c>
      <c r="B41" s="2" t="s">
        <v>70</v>
      </c>
    </row>
    <row r="42" spans="1:2" hidden="1" x14ac:dyDescent="0.25">
      <c r="A42" s="2" t="s">
        <v>131</v>
      </c>
      <c r="B42" s="2" t="s">
        <v>68</v>
      </c>
    </row>
    <row r="43" spans="1:2" hidden="1" x14ac:dyDescent="0.25">
      <c r="A43" s="2" t="s">
        <v>132</v>
      </c>
      <c r="B43" s="2" t="s">
        <v>68</v>
      </c>
    </row>
    <row r="44" spans="1:2" hidden="1" x14ac:dyDescent="0.25">
      <c r="A44" s="2" t="s">
        <v>133</v>
      </c>
      <c r="B44" s="2" t="s">
        <v>67</v>
      </c>
    </row>
    <row r="45" spans="1:2" hidden="1" x14ac:dyDescent="0.25">
      <c r="A45" s="2" t="s">
        <v>134</v>
      </c>
      <c r="B45" s="2" t="s">
        <v>70</v>
      </c>
    </row>
    <row r="46" spans="1:2" hidden="1" x14ac:dyDescent="0.25">
      <c r="A46" s="2" t="s">
        <v>135</v>
      </c>
      <c r="B46" s="2" t="s">
        <v>67</v>
      </c>
    </row>
    <row r="47" spans="1:2" hidden="1" x14ac:dyDescent="0.25">
      <c r="A47" s="2" t="s">
        <v>136</v>
      </c>
      <c r="B47" s="2" t="s">
        <v>70</v>
      </c>
    </row>
    <row r="48" spans="1:2" hidden="1" x14ac:dyDescent="0.25">
      <c r="A48" s="2" t="s">
        <v>137</v>
      </c>
      <c r="B48" s="2" t="s">
        <v>68</v>
      </c>
    </row>
    <row r="49" spans="1:2" hidden="1" x14ac:dyDescent="0.25">
      <c r="A49" s="2" t="s">
        <v>138</v>
      </c>
      <c r="B49" s="2" t="s">
        <v>67</v>
      </c>
    </row>
    <row r="50" spans="1:2" hidden="1" x14ac:dyDescent="0.25">
      <c r="A50" s="2" t="s">
        <v>139</v>
      </c>
      <c r="B50" s="2" t="s">
        <v>67</v>
      </c>
    </row>
    <row r="51" spans="1:2" hidden="1" x14ac:dyDescent="0.25">
      <c r="A51" s="2" t="s">
        <v>140</v>
      </c>
      <c r="B51" s="2" t="s">
        <v>70</v>
      </c>
    </row>
    <row r="52" spans="1:2" hidden="1" x14ac:dyDescent="0.25">
      <c r="A52" s="2" t="s">
        <v>141</v>
      </c>
      <c r="B52" s="2" t="s">
        <v>70</v>
      </c>
    </row>
    <row r="53" spans="1:2" hidden="1" x14ac:dyDescent="0.25">
      <c r="A53" s="2" t="s">
        <v>142</v>
      </c>
      <c r="B53" s="2" t="s">
        <v>70</v>
      </c>
    </row>
    <row r="54" spans="1:2" hidden="1" x14ac:dyDescent="0.25">
      <c r="A54" s="2" t="s">
        <v>143</v>
      </c>
      <c r="B54" s="2" t="s">
        <v>70</v>
      </c>
    </row>
    <row r="55" spans="1:2" hidden="1" x14ac:dyDescent="0.25">
      <c r="A55" s="2" t="s">
        <v>144</v>
      </c>
      <c r="B55" s="2" t="s">
        <v>68</v>
      </c>
    </row>
    <row r="56" spans="1:2" hidden="1" x14ac:dyDescent="0.25">
      <c r="A56" s="2" t="s">
        <v>145</v>
      </c>
      <c r="B56" s="2" t="s">
        <v>70</v>
      </c>
    </row>
    <row r="57" spans="1:2" hidden="1" x14ac:dyDescent="0.25">
      <c r="A57" s="2" t="s">
        <v>146</v>
      </c>
      <c r="B57" s="2" t="s">
        <v>68</v>
      </c>
    </row>
    <row r="58" spans="1:2" hidden="1" x14ac:dyDescent="0.25">
      <c r="A58" s="2" t="s">
        <v>147</v>
      </c>
      <c r="B58" s="2" t="s">
        <v>68</v>
      </c>
    </row>
    <row r="59" spans="1:2" hidden="1" x14ac:dyDescent="0.25">
      <c r="A59" s="2" t="s">
        <v>148</v>
      </c>
      <c r="B59" s="2" t="s">
        <v>68</v>
      </c>
    </row>
    <row r="60" spans="1:2" hidden="1" x14ac:dyDescent="0.25">
      <c r="A60" s="2" t="s">
        <v>149</v>
      </c>
      <c r="B60" s="2" t="s">
        <v>68</v>
      </c>
    </row>
    <row r="61" spans="1:2" hidden="1" x14ac:dyDescent="0.25">
      <c r="A61" s="2" t="s">
        <v>150</v>
      </c>
      <c r="B61" s="2" t="s">
        <v>68</v>
      </c>
    </row>
    <row r="62" spans="1:2" hidden="1" x14ac:dyDescent="0.25">
      <c r="A62" s="2" t="s">
        <v>151</v>
      </c>
      <c r="B62" s="2" t="s">
        <v>70</v>
      </c>
    </row>
    <row r="63" spans="1:2" hidden="1" x14ac:dyDescent="0.25">
      <c r="A63" s="2" t="s">
        <v>152</v>
      </c>
      <c r="B63" s="2" t="s">
        <v>67</v>
      </c>
    </row>
    <row r="64" spans="1:2" hidden="1" x14ac:dyDescent="0.25">
      <c r="A64" s="2" t="s">
        <v>153</v>
      </c>
      <c r="B64" s="2" t="s">
        <v>70</v>
      </c>
    </row>
    <row r="65" spans="1:2" hidden="1" x14ac:dyDescent="0.25">
      <c r="A65" s="2" t="s">
        <v>154</v>
      </c>
      <c r="B65" s="2" t="s">
        <v>70</v>
      </c>
    </row>
    <row r="66" spans="1:2" hidden="1" x14ac:dyDescent="0.25">
      <c r="A66" s="2" t="s">
        <v>155</v>
      </c>
      <c r="B66" s="2" t="s">
        <v>68</v>
      </c>
    </row>
    <row r="67" spans="1:2" hidden="1" x14ac:dyDescent="0.25">
      <c r="A67" s="2" t="s">
        <v>156</v>
      </c>
      <c r="B67" s="2" t="s">
        <v>70</v>
      </c>
    </row>
    <row r="68" spans="1:2" hidden="1" x14ac:dyDescent="0.25">
      <c r="A68" s="2" t="s">
        <v>157</v>
      </c>
      <c r="B68" s="2" t="s">
        <v>67</v>
      </c>
    </row>
    <row r="69" spans="1:2" hidden="1" x14ac:dyDescent="0.25">
      <c r="A69" s="2" t="s">
        <v>158</v>
      </c>
      <c r="B69" s="2" t="s">
        <v>70</v>
      </c>
    </row>
    <row r="70" spans="1:2" hidden="1" x14ac:dyDescent="0.25">
      <c r="A70" s="2" t="s">
        <v>159</v>
      </c>
      <c r="B70" s="2" t="s">
        <v>68</v>
      </c>
    </row>
    <row r="71" spans="1:2" hidden="1" x14ac:dyDescent="0.25">
      <c r="A71" s="2" t="s">
        <v>160</v>
      </c>
      <c r="B71" s="2" t="s">
        <v>67</v>
      </c>
    </row>
    <row r="72" spans="1:2" hidden="1" x14ac:dyDescent="0.25">
      <c r="A72" s="2" t="s">
        <v>161</v>
      </c>
      <c r="B72" s="2" t="s">
        <v>67</v>
      </c>
    </row>
    <row r="73" spans="1:2" hidden="1" x14ac:dyDescent="0.25">
      <c r="A73" s="2" t="s">
        <v>162</v>
      </c>
      <c r="B73" s="2" t="s">
        <v>67</v>
      </c>
    </row>
    <row r="74" spans="1:2" hidden="1" x14ac:dyDescent="0.25">
      <c r="A74" s="2" t="s">
        <v>163</v>
      </c>
      <c r="B74" s="2" t="s">
        <v>68</v>
      </c>
    </row>
    <row r="75" spans="1:2" hidden="1" x14ac:dyDescent="0.25">
      <c r="A75" s="2" t="s">
        <v>164</v>
      </c>
      <c r="B75" s="2" t="s">
        <v>68</v>
      </c>
    </row>
    <row r="76" spans="1:2" hidden="1" x14ac:dyDescent="0.25">
      <c r="A76" s="2" t="s">
        <v>165</v>
      </c>
      <c r="B76" s="2" t="s">
        <v>68</v>
      </c>
    </row>
    <row r="77" spans="1:2" hidden="1" x14ac:dyDescent="0.25">
      <c r="A77" s="2" t="s">
        <v>166</v>
      </c>
      <c r="B77" s="2" t="s">
        <v>67</v>
      </c>
    </row>
    <row r="78" spans="1:2" hidden="1" x14ac:dyDescent="0.25">
      <c r="A78" s="2" t="s">
        <v>167</v>
      </c>
      <c r="B78" s="2" t="s">
        <v>70</v>
      </c>
    </row>
    <row r="79" spans="1:2" hidden="1" x14ac:dyDescent="0.25">
      <c r="A79" s="2" t="s">
        <v>168</v>
      </c>
      <c r="B79" s="2" t="s">
        <v>70</v>
      </c>
    </row>
    <row r="80" spans="1:2" hidden="1" x14ac:dyDescent="0.25">
      <c r="A80" s="2" t="s">
        <v>169</v>
      </c>
      <c r="B80" s="2" t="s">
        <v>68</v>
      </c>
    </row>
    <row r="81" spans="1:2" hidden="1" x14ac:dyDescent="0.25">
      <c r="A81" s="2" t="s">
        <v>170</v>
      </c>
      <c r="B81" s="2" t="s">
        <v>68</v>
      </c>
    </row>
  </sheetData>
  <autoFilter ref="A1:B81" xr:uid="{134BF25C-9E31-46C5-81D6-E9C6E3D039D3}">
    <filterColumn colId="0">
      <filters>
        <filter val="Reactivo A"/>
        <filter val="Reactivo W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0093F-C560-4EA9-9376-386C23F2298A}">
  <sheetPr codeName="Hoja11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562AE-C28C-48EA-A3F3-E5B072EFB03E}">
  <sheetPr codeName="Hoja9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Analisis</vt:lpstr>
      <vt:lpstr>grafico consumo</vt:lpstr>
      <vt:lpstr>Hoja1-Datos</vt:lpstr>
      <vt:lpstr>Hoja12</vt:lpstr>
      <vt:lpstr>Hoja13</vt:lpstr>
      <vt:lpstr>Hoja11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Geronimo Ariel Tactagi</cp:lastModifiedBy>
  <dcterms:created xsi:type="dcterms:W3CDTF">2024-07-23T11:11:26Z</dcterms:created>
  <dcterms:modified xsi:type="dcterms:W3CDTF">2024-07-23T17:55:43Z</dcterms:modified>
</cp:coreProperties>
</file>